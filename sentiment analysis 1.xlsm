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https://d.docs.live.net/76ce9bce12833722/"/>
    </mc:Choice>
  </mc:AlternateContent>
  <xr:revisionPtr revIDLastSave="21" documentId="8_{3967846E-1CD4-45FB-B76C-3DE4CCE3DB22}" xr6:coauthVersionLast="47" xr6:coauthVersionMax="47" xr10:uidLastSave="{402CE679-896D-42A1-B4FF-A35172A85F4F}"/>
  <bookViews>
    <workbookView xWindow="-108" yWindow="-108" windowWidth="23256" windowHeight="12456" activeTab="2" xr2:uid="{02A3CACA-3A62-465E-BC7B-1B03A9EFE661}"/>
  </bookViews>
  <sheets>
    <sheet name="pivots " sheetId="2" r:id="rId1"/>
    <sheet name="DASHBOARD" sheetId="3" r:id="rId2"/>
    <sheet name="sentiment" sheetId="1" r:id="rId3"/>
  </sheets>
  <definedNames>
    <definedName name="Slicer_month">#N/A</definedName>
    <definedName name="Slicer_product_category">#N/A</definedName>
    <definedName name="Slicer_sentiment">#N/A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3" l="1"/>
  <c r="B6" i="3"/>
  <c r="B7" i="3"/>
  <c r="B5" i="3"/>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alcChain>
</file>

<file path=xl/sharedStrings.xml><?xml version="1.0" encoding="utf-8"?>
<sst xmlns="http://schemas.openxmlformats.org/spreadsheetml/2006/main" count="2273" uniqueCount="81">
  <si>
    <t>review_id</t>
  </si>
  <si>
    <t>date</t>
  </si>
  <si>
    <t>product_name</t>
  </si>
  <si>
    <t>product_category</t>
  </si>
  <si>
    <t>review_text</t>
  </si>
  <si>
    <t>rating</t>
  </si>
  <si>
    <t>sentiment</t>
  </si>
  <si>
    <t>Backpack</t>
  </si>
  <si>
    <t>Fashion</t>
  </si>
  <si>
    <t>Average quality</t>
  </si>
  <si>
    <t>Neutral</t>
  </si>
  <si>
    <t>Accessories</t>
  </si>
  <si>
    <t>Amazing experience</t>
  </si>
  <si>
    <t>Positive</t>
  </si>
  <si>
    <t>Phone</t>
  </si>
  <si>
    <t>Electronics</t>
  </si>
  <si>
    <t>Very good quality</t>
  </si>
  <si>
    <t>Laptop</t>
  </si>
  <si>
    <t>Watch</t>
  </si>
  <si>
    <t>Bad quality</t>
  </si>
  <si>
    <t>Negative</t>
  </si>
  <si>
    <t>Headphones</t>
  </si>
  <si>
    <t>Shoes</t>
  </si>
  <si>
    <t>Very disappointing</t>
  </si>
  <si>
    <t>Waste of money</t>
  </si>
  <si>
    <t>Not worth it</t>
  </si>
  <si>
    <t>Tablet</t>
  </si>
  <si>
    <t>Poor performance</t>
  </si>
  <si>
    <t>Loved it</t>
  </si>
  <si>
    <t>Excellent product</t>
  </si>
  <si>
    <t>Fine for use</t>
  </si>
  <si>
    <t>Not bad</t>
  </si>
  <si>
    <t>Worth the price</t>
  </si>
  <si>
    <t>Okay product</t>
  </si>
  <si>
    <t>Decent</t>
  </si>
  <si>
    <t>month</t>
  </si>
  <si>
    <t>Row Labels</t>
  </si>
  <si>
    <t>Grand Total</t>
  </si>
  <si>
    <t>Column Labels</t>
  </si>
  <si>
    <t>Apr-2024</t>
  </si>
  <si>
    <t>Apr-2025</t>
  </si>
  <si>
    <t>Aug-2024</t>
  </si>
  <si>
    <t>Aug-2025</t>
  </si>
  <si>
    <t>Dec-2024</t>
  </si>
  <si>
    <t>Dec-2025</t>
  </si>
  <si>
    <t>Feb-2024</t>
  </si>
  <si>
    <t>Feb-2025</t>
  </si>
  <si>
    <t>Jan-2024</t>
  </si>
  <si>
    <t>Jan-2025</t>
  </si>
  <si>
    <t>Jul-2024</t>
  </si>
  <si>
    <t>Jul-2025</t>
  </si>
  <si>
    <t>Jun-2024</t>
  </si>
  <si>
    <t>Jun-2025</t>
  </si>
  <si>
    <t>Mar-2024</t>
  </si>
  <si>
    <t>Mar-2025</t>
  </si>
  <si>
    <t>May-2024</t>
  </si>
  <si>
    <t>May-2025</t>
  </si>
  <si>
    <t>Nov-2024</t>
  </si>
  <si>
    <t>Nov-2025</t>
  </si>
  <si>
    <t>Oct-2024</t>
  </si>
  <si>
    <t>Oct-2025</t>
  </si>
  <si>
    <t>Sep-2024</t>
  </si>
  <si>
    <t>Sep-2025</t>
  </si>
  <si>
    <t>3.MONTHLY TRENDS :</t>
  </si>
  <si>
    <t>4. AVERAGE RATING ANALYSIS :</t>
  </si>
  <si>
    <t>Average of rating</t>
  </si>
  <si>
    <t>Total review</t>
  </si>
  <si>
    <t>total review</t>
  </si>
  <si>
    <t>KPI</t>
  </si>
  <si>
    <t>VALUES</t>
  </si>
  <si>
    <t>TOTAL REVIEWS</t>
  </si>
  <si>
    <t>POSITIVE REVIEWS</t>
  </si>
  <si>
    <t>NEGATIVE REVIEWS</t>
  </si>
  <si>
    <t>AVERAGE RATING</t>
  </si>
  <si>
    <t>1.SENTIMENT DISTRIBUTION :</t>
  </si>
  <si>
    <r>
      <t xml:space="preserve">1. </t>
    </r>
    <r>
      <rPr>
        <b/>
        <u/>
        <sz val="14"/>
        <color theme="1"/>
        <rFont val="Segoe UI"/>
        <family val="2"/>
      </rPr>
      <t>SENTIMENT DISTRIBUTION</t>
    </r>
    <r>
      <rPr>
        <b/>
        <sz val="14"/>
        <color theme="1"/>
        <rFont val="Segoe UI"/>
        <family val="2"/>
      </rPr>
      <t xml:space="preserve"> :</t>
    </r>
  </si>
  <si>
    <t>2.CATEGORY VS SENTIMENT:</t>
  </si>
  <si>
    <r>
      <t xml:space="preserve">2. </t>
    </r>
    <r>
      <rPr>
        <b/>
        <u/>
        <sz val="14"/>
        <color theme="1"/>
        <rFont val="Segoe UI"/>
        <family val="2"/>
      </rPr>
      <t>CATEGORY VS SENTIMENT</t>
    </r>
    <r>
      <rPr>
        <b/>
        <sz val="14"/>
        <color theme="1"/>
        <rFont val="Segoe UI"/>
        <family val="2"/>
      </rPr>
      <t xml:space="preserve"> :</t>
    </r>
  </si>
  <si>
    <r>
      <t xml:space="preserve">   3. </t>
    </r>
    <r>
      <rPr>
        <b/>
        <u/>
        <sz val="14"/>
        <color theme="1"/>
        <rFont val="Segoe UI"/>
        <family val="2"/>
      </rPr>
      <t>MONTHLY TRENDS</t>
    </r>
    <r>
      <rPr>
        <b/>
        <sz val="14"/>
        <color theme="1"/>
        <rFont val="Segoe UI"/>
        <family val="2"/>
      </rPr>
      <t xml:space="preserve"> :</t>
    </r>
  </si>
  <si>
    <r>
      <t xml:space="preserve">4. </t>
    </r>
    <r>
      <rPr>
        <b/>
        <u/>
        <sz val="14"/>
        <color theme="1"/>
        <rFont val="Segoe UI"/>
        <family val="2"/>
      </rPr>
      <t>AVERAGE RATING ANALYSIS</t>
    </r>
    <r>
      <rPr>
        <b/>
        <sz val="14"/>
        <color theme="1"/>
        <rFont val="Segoe UI"/>
        <family val="2"/>
      </rPr>
      <t xml:space="preserve"> :</t>
    </r>
  </si>
  <si>
    <r>
      <t xml:space="preserve">** </t>
    </r>
    <r>
      <rPr>
        <b/>
        <u/>
        <sz val="14"/>
        <color theme="1"/>
        <rFont val="Segoe UI"/>
        <family val="2"/>
      </rPr>
      <t>SLICERS</t>
    </r>
    <r>
      <rPr>
        <b/>
        <sz val="14"/>
        <color theme="1"/>
        <rFont val="Segoe UI"/>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</si>
</sst>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1"/>
      <color theme="1"/>
      <name val="Segoe UI"/>
      <family val="2"/>
    </font>
    <font>
      <b/>
      <sz val="14"/>
      <color theme="1"/>
      <name val="Segoe UI"/>
      <family val="2"/>
    </font>
    <font>
      <b/>
      <sz val="16"/>
      <color theme="1"/>
      <name val="Segoe UI"/>
      <family val="2"/>
    </font>
    <font>
      <b/>
      <u/>
      <sz val="14"/>
      <color theme="1"/>
      <name val="Segoe UI"/>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249977111117893"/>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theme="1"/>
      </left>
      <right style="medium">
        <color theme="1"/>
      </right>
      <top style="medium">
        <color theme="1"/>
      </top>
      <bottom style="medium">
        <color theme="1"/>
      </bottom>
      <diagonal/>
    </border>
    <border>
      <left style="medium">
        <color theme="5" tint="-0.499984740745262"/>
      </left>
      <right style="medium">
        <color theme="5" tint="-0.499984740745262"/>
      </right>
      <top style="medium">
        <color theme="5" tint="-0.499984740745262"/>
      </top>
      <bottom style="medium">
        <color theme="5" tint="-0.499984740745262"/>
      </bottom>
      <diagonal/>
    </border>
    <border>
      <left style="medium">
        <color theme="5" tint="-0.499984740745262"/>
      </left>
      <right/>
      <top style="medium">
        <color theme="5" tint="-0.499984740745262"/>
      </top>
      <bottom/>
      <diagonal/>
    </border>
    <border>
      <left/>
      <right style="medium">
        <color theme="5" tint="-0.499984740745262"/>
      </right>
      <top style="medium">
        <color theme="5" tint="-0.499984740745262"/>
      </top>
      <bottom/>
      <diagonal/>
    </border>
    <border>
      <left style="medium">
        <color theme="5" tint="-0.499984740745262"/>
      </left>
      <right/>
      <top/>
      <bottom style="medium">
        <color theme="5" tint="-0.499984740745262"/>
      </bottom>
      <diagonal/>
    </border>
    <border>
      <left/>
      <right style="medium">
        <color theme="5" tint="-0.499984740745262"/>
      </right>
      <top/>
      <bottom style="medium">
        <color theme="5" tint="-0.499984740745262"/>
      </bottom>
      <diagonal/>
    </border>
    <border>
      <left style="medium">
        <color theme="5" tint="-0.499984740745262"/>
      </left>
      <right style="medium">
        <color theme="5" tint="-0.499984740745262"/>
      </right>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medium">
        <color theme="5" tint="-0.499984740745262"/>
      </left>
      <right style="medium">
        <color theme="5" tint="-0.499984740745262"/>
      </right>
      <top style="medium">
        <color theme="5" tint="-0.499984740745262"/>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4">
    <xf numFmtId="0" fontId="0" fillId="0" borderId="0" xfId="0"/>
    <xf numFmtId="0" fontId="19" fillId="33" borderId="10" xfId="0" applyFont="1" applyFill="1" applyBorder="1"/>
    <xf numFmtId="0" fontId="18" fillId="33" borderId="10" xfId="0" applyFont="1" applyFill="1" applyBorder="1"/>
    <xf numFmtId="0" fontId="18" fillId="33" borderId="0" xfId="0" applyFont="1" applyFill="1"/>
    <xf numFmtId="0" fontId="19" fillId="33" borderId="0" xfId="0" applyFont="1" applyFill="1"/>
    <xf numFmtId="0" fontId="20" fillId="34" borderId="0" xfId="0" applyFont="1" applyFill="1"/>
    <xf numFmtId="0" fontId="18" fillId="34" borderId="0" xfId="0" applyFont="1" applyFill="1"/>
    <xf numFmtId="0" fontId="0" fillId="34" borderId="0" xfId="0" applyFill="1"/>
    <xf numFmtId="0" fontId="18" fillId="34" borderId="11" xfId="0" applyFont="1" applyFill="1" applyBorder="1"/>
    <xf numFmtId="0" fontId="18" fillId="34" borderId="11" xfId="0" applyFont="1" applyFill="1" applyBorder="1" applyAlignment="1">
      <alignment horizontal="left"/>
    </xf>
    <xf numFmtId="0" fontId="0" fillId="34" borderId="11" xfId="0" applyFill="1" applyBorder="1"/>
    <xf numFmtId="0" fontId="0" fillId="34" borderId="11" xfId="0" applyFill="1" applyBorder="1" applyAlignment="1">
      <alignment horizontal="left"/>
    </xf>
    <xf numFmtId="2" fontId="0" fillId="34" borderId="11" xfId="0" applyNumberFormat="1" applyFill="1" applyBorder="1"/>
    <xf numFmtId="0" fontId="18" fillId="35" borderId="15" xfId="0" applyFont="1" applyFill="1" applyBorder="1"/>
    <xf numFmtId="0" fontId="18" fillId="35" borderId="16" xfId="0" applyFont="1" applyFill="1" applyBorder="1"/>
    <xf numFmtId="0" fontId="18" fillId="35" borderId="14" xfId="0" applyFont="1" applyFill="1" applyBorder="1"/>
    <xf numFmtId="0" fontId="18" fillId="33" borderId="17" xfId="0" applyFont="1" applyFill="1" applyBorder="1"/>
    <xf numFmtId="14" fontId="18" fillId="33" borderId="11" xfId="0" applyNumberFormat="1" applyFont="1" applyFill="1" applyBorder="1"/>
    <xf numFmtId="0" fontId="18" fillId="33" borderId="11" xfId="0" applyFont="1" applyFill="1" applyBorder="1"/>
    <xf numFmtId="0" fontId="18" fillId="33" borderId="18" xfId="0" applyFont="1" applyFill="1" applyBorder="1"/>
    <xf numFmtId="0" fontId="18" fillId="33" borderId="13" xfId="0" applyFont="1" applyFill="1" applyBorder="1"/>
    <xf numFmtId="14" fontId="18" fillId="33" borderId="19" xfId="0" applyNumberFormat="1" applyFont="1" applyFill="1" applyBorder="1"/>
    <xf numFmtId="0" fontId="18" fillId="33" borderId="19" xfId="0" applyFont="1" applyFill="1" applyBorder="1"/>
    <xf numFmtId="0" fontId="18" fillId="33" borderId="12" xfId="0" applyFont="1" applyFill="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5">
    <dxf>
      <font>
        <strike val="0"/>
        <outline val="0"/>
        <shadow val="0"/>
        <u val="none"/>
        <vertAlign val="baseline"/>
        <sz val="11"/>
        <color theme="1"/>
        <name val="Segoe UI"/>
        <family val="2"/>
        <scheme val="none"/>
      </font>
      <fill>
        <patternFill patternType="solid">
          <fgColor indexed="64"/>
          <bgColor theme="5" tint="-0.249977111117893"/>
        </patternFill>
      </fill>
      <border diagonalUp="0" diagonalDown="0">
        <left style="medium">
          <color theme="5" tint="-0.499984740745262"/>
        </left>
        <right style="medium">
          <color theme="5" tint="-0.499984740745262"/>
        </right>
        <top/>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style="medium">
          <color theme="5" tint="-0.499984740745262"/>
        </left>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b val="0"/>
        <i val="0"/>
        <strike val="0"/>
        <condense val="0"/>
        <extend val="0"/>
        <outline val="0"/>
        <shadow val="0"/>
        <u val="none"/>
        <vertAlign val="baseline"/>
        <sz val="11"/>
        <color theme="1"/>
        <name val="Segoe UI"/>
        <family val="2"/>
        <scheme val="none"/>
      </font>
      <numFmt numFmtId="19" formatCode="dd/mm/yyyy"/>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numFmt numFmtId="19" formatCode="dd/mm/yyyy"/>
      <fill>
        <patternFill patternType="solid">
          <fgColor indexed="64"/>
          <bgColor theme="5" tint="0.39997558519241921"/>
        </patternFill>
      </fill>
      <border diagonalUp="0" diagonalDown="0">
        <left style="medium">
          <color theme="5" tint="-0.499984740745262"/>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font>
        <strike val="0"/>
        <outline val="0"/>
        <shadow val="0"/>
        <u val="none"/>
        <vertAlign val="baseline"/>
        <sz val="11"/>
        <color theme="1"/>
        <name val="Segoe UI"/>
        <family val="2"/>
        <scheme val="none"/>
      </font>
      <fill>
        <patternFill patternType="solid">
          <fgColor indexed="64"/>
          <bgColor theme="5" tint="0.39997558519241921"/>
        </patternFill>
      </fill>
      <border diagonalUp="0" diagonalDown="0">
        <left/>
        <right style="medium">
          <color theme="5" tint="-0.499984740745262"/>
        </right>
        <top style="medium">
          <color theme="5" tint="-0.499984740745262"/>
        </top>
        <bottom style="medium">
          <color theme="5" tint="-0.499984740745262"/>
        </bottom>
        <vertical style="medium">
          <color theme="5" tint="-0.499984740745262"/>
        </vertical>
        <horizontal style="medium">
          <color theme="5" tint="-0.499984740745262"/>
        </horizontal>
      </border>
    </dxf>
    <dxf>
      <border>
        <top style="medium">
          <color theme="5" tint="-0.499984740745262"/>
        </top>
      </border>
    </dxf>
    <dxf>
      <border>
        <bottom style="medium">
          <color theme="5" tint="-0.499984740745262"/>
        </bottom>
      </border>
    </dxf>
    <dxf>
      <border diagonalUp="0" diagonalDown="0">
        <left style="medium">
          <color theme="5" tint="-0.499984740745262"/>
        </left>
        <right style="medium">
          <color theme="5" tint="-0.499984740745262"/>
        </right>
        <top style="medium">
          <color theme="5" tint="-0.499984740745262"/>
        </top>
        <bottom style="medium">
          <color theme="5" tint="-0.499984740745262"/>
        </bottom>
      </border>
    </dxf>
    <dxf>
      <font>
        <strike val="0"/>
        <outline val="0"/>
        <shadow val="0"/>
        <u val="none"/>
        <vertAlign val="baseline"/>
        <sz val="11"/>
        <color theme="1"/>
        <name val="Segoe UI"/>
        <family val="2"/>
        <scheme val="none"/>
      </font>
      <fill>
        <patternFill patternType="solid">
          <fgColor indexed="64"/>
          <bgColor theme="5" tint="0.39997558519241921"/>
        </patternFill>
      </fill>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vertical style="medium">
          <color theme="5" tint="-0.499984740745262"/>
        </vertical>
        <horizontal style="medium">
          <color theme="5" tint="-0.499984740745262"/>
        </horizontal>
      </border>
    </dxf>
    <dxf>
      <border>
        <left style="medium">
          <color theme="5" tint="-0.499984740745262"/>
        </left>
        <right style="medium">
          <color theme="5" tint="-0.499984740745262"/>
        </right>
        <top style="medium">
          <color theme="5" tint="-0.499984740745262"/>
        </top>
        <bottom style="medium">
          <color theme="5" tint="-0.499984740745262"/>
        </bottom>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vertical style="medium">
          <color theme="5" tint="-0.499984740745262"/>
        </vertical>
        <horizontal style="medium">
          <color theme="5" tint="-0.499984740745262"/>
        </horizontal>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border>
        <left style="medium">
          <color theme="5" tint="-0.499984740745262"/>
        </left>
        <right style="medium">
          <color theme="5" tint="-0.499984740745262"/>
        </right>
        <top style="medium">
          <color theme="5" tint="-0.499984740745262"/>
        </top>
        <bottom style="medium">
          <color theme="5" tint="-0.499984740745262"/>
        </bottom>
      </bord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name val="Segoe UI"/>
        <scheme val="none"/>
      </font>
    </dxf>
    <dxf>
      <font>
        <name val="Segoe UI"/>
        <scheme val="none"/>
      </font>
    </dxf>
    <dxf>
      <font>
        <name val="Segoe UI"/>
        <scheme val="none"/>
      </font>
    </dxf>
    <dxf>
      <font>
        <name val="Segoe UI"/>
        <scheme val="none"/>
      </font>
    </dxf>
    <dxf>
      <font>
        <name val="Segoe UI"/>
        <scheme val="none"/>
      </font>
    </dxf>
    <dxf>
      <font>
        <name val="Segoe UI"/>
        <scheme val="none"/>
      </font>
    </dxf>
  </dxfs>
  <tableStyles count="0" defaultTableStyle="TableStyleMedium2" defaultPivotStyle="PivotStyleLight16"/>
  <colors>
    <mruColors>
      <color rgb="FFE8723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[sentiment analysis 1.xlsm]pivots !PivotTable1</c:name>
    <c:fmtId val="2"/>
  </c:pivotSource>
  <c:chart>
    <c:title>
      <c:tx>
        <c:rich>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r>
              <a:rPr lang="en-US"/>
              <a:t>SENTIMENT ANALYSIS</a:t>
            </a:r>
          </a:p>
        </c:rich>
      </c:tx>
      <c:overlay val="0"/>
      <c:spPr>
        <a:noFill/>
        <a:ln>
          <a:noFill/>
        </a:ln>
        <a:effectLst/>
      </c:spPr>
      <c:txPr>
        <a:bodyPr rot="0" spcFirstLastPara="1" vertOverflow="ellipsis" vert="horz" wrap="square" anchor="ctr" anchorCtr="1"/>
        <a:lstStyle/>
        <a:p>
          <a:pPr>
            <a:defRPr sz="1800" b="1" i="0" u="none" strike="noStrike" kern="1200" cap="all"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marker>
          <c:symbol val="none"/>
        </c:marker>
        <c:dLbl>
          <c:idx val="0"/>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
        <c:idx val="8"/>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dLbl>
          <c:idx val="0"/>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extLst>
            <c:ext xmlns:c15="http://schemas.microsoft.com/office/drawing/2012/chart" uri="{CE6537A1-D6FC-4f65-9D91-7224C49458BB}"/>
          </c:extLst>
        </c:dLbl>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'pivots '!$B$3</c:f>
              <c:strCache>
                <c:ptCount val="1"/>
                <c:pt idx="0">
                  <c:v>Total</c:v>
                </c:pt>
              </c:strCache>
            </c:strRef>
          </c:tx>
          <c:dPt>
            <c:idx val="0"/>
            <c:bubble3D val="0"/>
            <c:spPr>
              <a:solidFill>
                <a:schemeClr val="accent1">
                  <a:alpha val="90000"/>
                </a:schemeClr>
              </a:solidFill>
              <a:ln w="19050">
                <a:solidFill>
                  <a:schemeClr val="accent1">
                    <a:lumMod val="75000"/>
                  </a:schemeClr>
                </a:solidFill>
              </a:ln>
              <a:effectLst>
                <a:innerShdw blurRad="114300">
                  <a:schemeClr val="accent1">
                    <a:lumMod val="75000"/>
                  </a:schemeClr>
                </a:innerShdw>
              </a:effectLst>
              <a:scene3d>
                <a:camera prst="orthographicFront"/>
                <a:lightRig rig="threePt" dir="t"/>
              </a:scene3d>
              <a:sp3d contourW="19050" prstMaterial="flat">
                <a:contourClr>
                  <a:schemeClr val="accent1">
                    <a:lumMod val="75000"/>
                  </a:schemeClr>
                </a:contourClr>
              </a:sp3d>
            </c:spPr>
            <c:extLst>
              <c:ext xmlns:c16="http://schemas.microsoft.com/office/drawing/2014/chart" uri="{C3380CC4-5D6E-409C-BE32-E72D297353CC}">
                <c16:uniqueId val="{00000001-7FE3-4178-9B82-8039AFF19BDA}"/>
              </c:ext>
            </c:extLst>
          </c:dPt>
          <c:dPt>
            <c:idx val="1"/>
            <c:bubble3D val="0"/>
            <c:spPr>
              <a:solidFill>
                <a:schemeClr val="accent2">
                  <a:alpha val="90000"/>
                </a:schemeClr>
              </a:solidFill>
              <a:ln w="19050">
                <a:solidFill>
                  <a:schemeClr val="accent2">
                    <a:lumMod val="75000"/>
                  </a:schemeClr>
                </a:solidFill>
              </a:ln>
              <a:effectLst>
                <a:innerShdw blurRad="114300">
                  <a:schemeClr val="accent2">
                    <a:lumMod val="75000"/>
                  </a:schemeClr>
                </a:innerShdw>
              </a:effectLst>
              <a:scene3d>
                <a:camera prst="orthographicFront"/>
                <a:lightRig rig="threePt" dir="t"/>
              </a:scene3d>
              <a:sp3d contourW="19050" prstMaterial="flat">
                <a:contourClr>
                  <a:schemeClr val="accent2">
                    <a:lumMod val="75000"/>
                  </a:schemeClr>
                </a:contourClr>
              </a:sp3d>
            </c:spPr>
            <c:extLst>
              <c:ext xmlns:c16="http://schemas.microsoft.com/office/drawing/2014/chart" uri="{C3380CC4-5D6E-409C-BE32-E72D297353CC}">
                <c16:uniqueId val="{00000003-7FE3-4178-9B82-8039AFF19BDA}"/>
              </c:ext>
            </c:extLst>
          </c:dPt>
          <c:dPt>
            <c:idx val="2"/>
            <c:bubble3D val="0"/>
            <c:spPr>
              <a:solidFill>
                <a:schemeClr val="accent3">
                  <a:alpha val="90000"/>
                </a:schemeClr>
              </a:solidFill>
              <a:ln w="19050">
                <a:solidFill>
                  <a:schemeClr val="accent3">
                    <a:lumMod val="75000"/>
                  </a:schemeClr>
                </a:solidFill>
              </a:ln>
              <a:effectLst>
                <a:innerShdw blurRad="114300">
                  <a:schemeClr val="accent3">
                    <a:lumMod val="75000"/>
                  </a:schemeClr>
                </a:innerShdw>
              </a:effectLst>
              <a:scene3d>
                <a:camera prst="orthographicFront"/>
                <a:lightRig rig="threePt" dir="t"/>
              </a:scene3d>
              <a:sp3d contourW="19050" prstMaterial="flat">
                <a:contourClr>
                  <a:schemeClr val="accent3">
                    <a:lumMod val="75000"/>
                  </a:schemeClr>
                </a:contourClr>
              </a:sp3d>
            </c:spPr>
            <c:extLst>
              <c:ext xmlns:c16="http://schemas.microsoft.com/office/drawing/2014/chart" uri="{C3380CC4-5D6E-409C-BE32-E72D297353CC}">
                <c16:uniqueId val="{00000005-7FE3-4178-9B82-8039AFF19BDA}"/>
              </c:ext>
            </c:extLst>
          </c:dPt>
          <c:dLbls>
            <c:dLbl>
              <c:idx val="0"/>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extLst>
                <c:ext xmlns:c16="http://schemas.microsoft.com/office/drawing/2014/chart" uri="{C3380CC4-5D6E-409C-BE32-E72D297353CC}">
                  <c16:uniqueId val="{00000001-7FE3-4178-9B82-8039AFF19BDA}"/>
                </c:ext>
              </c:extLst>
            </c:dLbl>
            <c:dLbl>
              <c:idx val="1"/>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2"/>
                      </a:solidFill>
                      <a:effectLst/>
                      <a:latin typeface="+mn-lt"/>
                      <a:ea typeface="+mn-ea"/>
                      <a:cs typeface="+mn-cs"/>
                    </a:defRPr>
                  </a:pPr>
                  <a:endParaRPr lang="en-US"/>
                </a:p>
              </c:txPr>
              <c:dLblPos val="inEnd"/>
              <c:showLegendKey val="0"/>
              <c:showVal val="1"/>
              <c:showCatName val="1"/>
              <c:showSerName val="0"/>
              <c:showPercent val="0"/>
              <c:showBubbleSize val="0"/>
              <c:extLst>
                <c:ext xmlns:c16="http://schemas.microsoft.com/office/drawing/2014/chart" uri="{C3380CC4-5D6E-409C-BE32-E72D297353CC}">
                  <c16:uniqueId val="{00000003-7FE3-4178-9B82-8039AFF19BDA}"/>
                </c:ext>
              </c:extLst>
            </c:dLbl>
            <c:dLbl>
              <c:idx val="2"/>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3"/>
                      </a:solidFill>
                      <a:effectLst/>
                      <a:latin typeface="+mn-lt"/>
                      <a:ea typeface="+mn-ea"/>
                      <a:cs typeface="+mn-cs"/>
                    </a:defRPr>
                  </a:pPr>
                  <a:endParaRPr lang="en-US"/>
                </a:p>
              </c:txPr>
              <c:dLblPos val="inEnd"/>
              <c:showLegendKey val="0"/>
              <c:showVal val="1"/>
              <c:showCatName val="1"/>
              <c:showSerName val="0"/>
              <c:showPercent val="0"/>
              <c:showBubbleSize val="0"/>
              <c:extLst>
                <c:ext xmlns:c16="http://schemas.microsoft.com/office/drawing/2014/chart" uri="{C3380CC4-5D6E-409C-BE32-E72D297353CC}">
                  <c16:uniqueId val="{00000005-7FE3-4178-9B82-8039AFF19BDA}"/>
                </c:ext>
              </c:extLst>
            </c:dLbl>
            <c:spPr>
              <a:solidFill>
                <a:sysClr val="window" lastClr="FFFFFF">
                  <a:alpha val="90000"/>
                </a:sysClr>
              </a:solidFill>
              <a:ln w="12700" cap="flat" cmpd="sng" algn="ctr">
                <a:solidFill>
                  <a:srgbClr val="156082"/>
                </a:solidFill>
                <a:round/>
              </a:ln>
              <a:effectLst>
                <a:outerShdw blurRad="50800" dist="38100" dir="2700000" algn="tl" rotWithShape="0">
                  <a:srgbClr val="156082">
                    <a:lumMod val="75000"/>
                    <a:alpha val="40000"/>
                  </a:srgbClr>
                </a:outerShdw>
              </a:effectLst>
            </c:spPr>
            <c:txPr>
              <a:bodyPr rot="0" spcFirstLastPara="1" vertOverflow="clip" horzOverflow="clip" vert="horz" wrap="square" lIns="38100" tIns="19050" rIns="38100" bIns="19050" anchor="ctr" anchorCtr="1">
                <a:spAutoFit/>
              </a:bodyPr>
              <a:lstStyle/>
              <a:p>
                <a:pPr>
                  <a:defRPr sz="1000" b="0" i="0" u="none" strike="noStrike" kern="1200" baseline="0">
                    <a:solidFill>
                      <a:schemeClr val="accent1"/>
                    </a:solidFill>
                    <a:effectLst/>
                    <a:latin typeface="+mn-lt"/>
                    <a:ea typeface="+mn-ea"/>
                    <a:cs typeface="+mn-cs"/>
                  </a:defRPr>
                </a:pPr>
                <a:endParaRPr lang="en-US"/>
              </a:p>
            </c:txPr>
            <c:dLblPos val="inEnd"/>
            <c:showLegendKey val="0"/>
            <c:showVal val="1"/>
            <c:showCatName val="1"/>
            <c:showSerName val="0"/>
            <c:showPercent val="0"/>
            <c:showBubbleSize val="0"/>
            <c:showLeaderLines val="1"/>
            <c:leaderLines>
              <c:spPr>
                <a:ln w="9525">
                  <a:solidFill>
                    <a:schemeClr val="tx1">
                      <a:lumMod val="35000"/>
                      <a:lumOff val="65000"/>
                    </a:schemeClr>
                  </a:solidFill>
                </a:ln>
                <a:effectLst/>
              </c:spPr>
            </c:leaderLines>
            <c:extLst>
              <c:ext xmlns:c15="http://schemas.microsoft.com/office/drawing/2012/chart" uri="{CE6537A1-D6FC-4f65-9D91-7224C49458BB}"/>
            </c:extLst>
          </c:dLbls>
          <c:cat>
            <c:strRef>
              <c:f>'pivots '!$A$4:$A$7</c:f>
              <c:strCache>
                <c:ptCount val="3"/>
                <c:pt idx="0">
                  <c:v>Negative</c:v>
                </c:pt>
                <c:pt idx="1">
                  <c:v>Neutral</c:v>
                </c:pt>
                <c:pt idx="2">
                  <c:v>Positive</c:v>
                </c:pt>
              </c:strCache>
            </c:strRef>
          </c:cat>
          <c:val>
            <c:numRef>
              <c:f>'pivots '!$B$4:$B$7</c:f>
              <c:numCache>
                <c:formatCode>General</c:formatCode>
                <c:ptCount val="3"/>
                <c:pt idx="0">
                  <c:v>205</c:v>
                </c:pt>
                <c:pt idx="1">
                  <c:v>163</c:v>
                </c:pt>
                <c:pt idx="2">
                  <c:v>182</c:v>
                </c:pt>
              </c:numCache>
            </c:numRef>
          </c:val>
          <c:extLst>
            <c:ext xmlns:c16="http://schemas.microsoft.com/office/drawing/2014/chart" uri="{C3380CC4-5D6E-409C-BE32-E72D297353CC}">
              <c16:uniqueId val="{00000006-7FE3-4178-9B82-8039AFF19BDA}"/>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[sentiment analysis 1.xlsm]pivots !PivotTable2</c:name>
    <c:fmtId val="4"/>
  </c:pivotSource>
  <c:chart>
    <c:title>
      <c:tx>
        <c:rich>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r>
              <a:rPr lang="en-IN"/>
              <a:t>CATEGORY VS SENTIMENT</a:t>
            </a:r>
          </a:p>
        </c:rich>
      </c:tx>
      <c:overlay val="0"/>
      <c:spPr>
        <a:noFill/>
        <a:ln>
          <a:noFill/>
        </a:ln>
        <a:effectLst/>
      </c:spPr>
      <c:txPr>
        <a:bodyPr rot="0" spcFirstLastPara="1" vertOverflow="ellipsis" vert="horz" wrap="square" anchor="ctr" anchorCtr="1"/>
        <a:lstStyle/>
        <a:p>
          <a:pPr>
            <a:defRPr sz="2000" b="0" i="0" u="none" strike="noStrike" kern="1200" cap="none" spc="0" normalizeH="0" baseline="0">
              <a:solidFill>
                <a:schemeClr val="tx1">
                  <a:lumMod val="65000"/>
                  <a:lumOff val="35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'pivots '!$E$3:$E$4</c:f>
              <c:strCache>
                <c:ptCount val="1"/>
                <c:pt idx="0">
                  <c:v>Negative</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 '!$D$5:$D$8</c:f>
              <c:strCache>
                <c:ptCount val="3"/>
                <c:pt idx="0">
                  <c:v>Accessories</c:v>
                </c:pt>
                <c:pt idx="1">
                  <c:v>Electronics</c:v>
                </c:pt>
                <c:pt idx="2">
                  <c:v>Fashion</c:v>
                </c:pt>
              </c:strCache>
            </c:strRef>
          </c:cat>
          <c:val>
            <c:numRef>
              <c:f>'pivots '!$E$5:$E$8</c:f>
              <c:numCache>
                <c:formatCode>General</c:formatCode>
                <c:ptCount val="3"/>
                <c:pt idx="0">
                  <c:v>74</c:v>
                </c:pt>
                <c:pt idx="1">
                  <c:v>62</c:v>
                </c:pt>
                <c:pt idx="2">
                  <c:v>69</c:v>
                </c:pt>
              </c:numCache>
            </c:numRef>
          </c:val>
          <c:extLst>
            <c:ext xmlns:c16="http://schemas.microsoft.com/office/drawing/2014/chart" uri="{C3380CC4-5D6E-409C-BE32-E72D297353CC}">
              <c16:uniqueId val="{00000000-90D3-4B20-BA78-041D93EC09A8}"/>
            </c:ext>
          </c:extLst>
        </c:ser>
        <c:ser>
          <c:idx val="1"/>
          <c:order val="1"/>
          <c:tx>
            <c:strRef>
              <c:f>'pivots '!$F$3:$F$4</c:f>
              <c:strCache>
                <c:ptCount val="1"/>
                <c:pt idx="0">
                  <c:v>Neutral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 '!$D$5:$D$8</c:f>
              <c:strCache>
                <c:ptCount val="3"/>
                <c:pt idx="0">
                  <c:v>Accessories</c:v>
                </c:pt>
                <c:pt idx="1">
                  <c:v>Electronics</c:v>
                </c:pt>
                <c:pt idx="2">
                  <c:v>Fashion</c:v>
                </c:pt>
              </c:strCache>
            </c:strRef>
          </c:cat>
          <c:val>
            <c:numRef>
              <c:f>'pivots '!$F$5:$F$8</c:f>
              <c:numCache>
                <c:formatCode>General</c:formatCode>
                <c:ptCount val="3"/>
                <c:pt idx="0">
                  <c:v>59</c:v>
                </c:pt>
                <c:pt idx="1">
                  <c:v>50</c:v>
                </c:pt>
                <c:pt idx="2">
                  <c:v>54</c:v>
                </c:pt>
              </c:numCache>
            </c:numRef>
          </c:val>
          <c:extLst>
            <c:ext xmlns:c16="http://schemas.microsoft.com/office/drawing/2014/chart" uri="{C3380CC4-5D6E-409C-BE32-E72D297353CC}">
              <c16:uniqueId val="{00000004-90D3-4B20-BA78-041D93EC09A8}"/>
            </c:ext>
          </c:extLst>
        </c:ser>
        <c:ser>
          <c:idx val="2"/>
          <c:order val="2"/>
          <c:tx>
            <c:strRef>
              <c:f>'pivots '!$G$3:$G$4</c:f>
              <c:strCache>
                <c:ptCount val="1"/>
                <c:pt idx="0">
                  <c:v>Positive</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'pivots '!$D$5:$D$8</c:f>
              <c:strCache>
                <c:ptCount val="3"/>
                <c:pt idx="0">
                  <c:v>Accessories</c:v>
                </c:pt>
                <c:pt idx="1">
                  <c:v>Electronics</c:v>
                </c:pt>
                <c:pt idx="2">
                  <c:v>Fashion</c:v>
                </c:pt>
              </c:strCache>
            </c:strRef>
          </c:cat>
          <c:val>
            <c:numRef>
              <c:f>'pivots '!$G$5:$G$8</c:f>
              <c:numCache>
                <c:formatCode>General</c:formatCode>
                <c:ptCount val="3"/>
                <c:pt idx="0">
                  <c:v>70</c:v>
                </c:pt>
                <c:pt idx="1">
                  <c:v>55</c:v>
                </c:pt>
                <c:pt idx="2">
                  <c:v>57</c:v>
                </c:pt>
              </c:numCache>
            </c:numRef>
          </c:val>
          <c:extLst>
            <c:ext xmlns:c16="http://schemas.microsoft.com/office/drawing/2014/chart" uri="{C3380CC4-5D6E-409C-BE32-E72D297353CC}">
              <c16:uniqueId val="{00000005-90D3-4B20-BA78-041D93EC09A8}"/>
            </c:ext>
          </c:extLst>
        </c:ser>
        <c:dLbls>
          <c:dLblPos val="ctr"/>
          <c:showLegendKey val="0"/>
          <c:showVal val="1"/>
          <c:showCatName val="0"/>
          <c:showSerName val="0"/>
          <c:showPercent val="0"/>
          <c:showBubbleSize val="0"/>
        </c:dLbls>
        <c:gapWidth val="150"/>
        <c:overlap val="100"/>
        <c:axId val="1917750671"/>
        <c:axId val="1917748751"/>
      </c:barChart>
      <c:catAx>
        <c:axId val="191775067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917748751"/>
        <c:crosses val="autoZero"/>
        <c:auto val="1"/>
        <c:lblAlgn val="ctr"/>
        <c:lblOffset val="100"/>
        <c:noMultiLvlLbl val="0"/>
      </c:catAx>
      <c:valAx>
        <c:axId val="1917748751"/>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17750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[sentiment analysis 1.xlsm]pivots !PivotTable3</c:name>
    <c:fmtId val="3"/>
  </c:pivotSource>
  <c:chart>
    <c:title>
      <c:tx>
        <c:rich>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r>
              <a:rPr lang="en-US" sz="1800" b="1"/>
              <a:t>MONTHLY TRENDS </a:t>
            </a:r>
          </a:p>
        </c:rich>
      </c:tx>
      <c:layout>
        <c:manualLayout>
          <c:xMode val="edge"/>
          <c:yMode val="edge"/>
          <c:x val="0.32594076400274014"/>
          <c:y val="2.5510204081632654E-2"/>
        </c:manualLayout>
      </c:layout>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'pivots '!$B$13</c:f>
              <c:strCache>
                <c:ptCount val="1"/>
                <c:pt idx="0">
                  <c:v>Total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'pivots '!$A$14:$A$38</c:f>
              <c:strCache>
                <c:ptCount val="24"/>
                <c:pt idx="0">
                  <c:v>Apr-2024</c:v>
                </c:pt>
                <c:pt idx="1">
                  <c:v>Apr-2025</c:v>
                </c:pt>
                <c:pt idx="2">
                  <c:v>Aug-2024</c:v>
                </c:pt>
                <c:pt idx="3">
                  <c:v>Aug-2025</c:v>
                </c:pt>
                <c:pt idx="4">
                  <c:v>Dec-2024</c:v>
                </c:pt>
                <c:pt idx="5">
                  <c:v>Dec-2025</c:v>
                </c:pt>
                <c:pt idx="6">
                  <c:v>Feb-2024</c:v>
                </c:pt>
                <c:pt idx="7">
                  <c:v>Feb-2025</c:v>
                </c:pt>
                <c:pt idx="8">
                  <c:v>Jan-2024</c:v>
                </c:pt>
                <c:pt idx="9">
                  <c:v>Jan-2025</c:v>
                </c:pt>
                <c:pt idx="10">
                  <c:v>Jul-2024</c:v>
                </c:pt>
                <c:pt idx="11">
                  <c:v>Jul-2025</c:v>
                </c:pt>
                <c:pt idx="12">
                  <c:v>Jun-2024</c:v>
                </c:pt>
                <c:pt idx="13">
                  <c:v>Jun-2025</c:v>
                </c:pt>
                <c:pt idx="14">
                  <c:v>Mar-2024</c:v>
                </c:pt>
                <c:pt idx="15">
                  <c:v>Mar-2025</c:v>
                </c:pt>
                <c:pt idx="16">
                  <c:v>May-2024</c:v>
                </c:pt>
                <c:pt idx="17">
                  <c:v>May-2025</c:v>
                </c:pt>
                <c:pt idx="18">
                  <c:v>Nov-2024</c:v>
                </c:pt>
                <c:pt idx="19">
                  <c:v>Nov-2025</c:v>
                </c:pt>
                <c:pt idx="20">
                  <c:v>Oct-2024</c:v>
                </c:pt>
                <c:pt idx="21">
                  <c:v>Oct-2025</c:v>
                </c:pt>
                <c:pt idx="22">
                  <c:v>Sep-2024</c:v>
                </c:pt>
                <c:pt idx="23">
                  <c:v>Sep-2025</c:v>
                </c:pt>
              </c:strCache>
            </c:strRef>
          </c:cat>
          <c:val>
            <c:numRef>
              <c:f>'pivots '!$B$14:$B$38</c:f>
              <c:numCache>
                <c:formatCode>General</c:formatCode>
                <c:ptCount val="24"/>
                <c:pt idx="0">
                  <c:v>29</c:v>
                </c:pt>
                <c:pt idx="1">
                  <c:v>33</c:v>
                </c:pt>
                <c:pt idx="2">
                  <c:v>22</c:v>
                </c:pt>
                <c:pt idx="3">
                  <c:v>26</c:v>
                </c:pt>
                <c:pt idx="4">
                  <c:v>24</c:v>
                </c:pt>
                <c:pt idx="5">
                  <c:v>1</c:v>
                </c:pt>
                <c:pt idx="6">
                  <c:v>31</c:v>
                </c:pt>
                <c:pt idx="7">
                  <c:v>31</c:v>
                </c:pt>
                <c:pt idx="8">
                  <c:v>11</c:v>
                </c:pt>
                <c:pt idx="9">
                  <c:v>22</c:v>
                </c:pt>
                <c:pt idx="10">
                  <c:v>26</c:v>
                </c:pt>
                <c:pt idx="11">
                  <c:v>32</c:v>
                </c:pt>
                <c:pt idx="12">
                  <c:v>24</c:v>
                </c:pt>
                <c:pt idx="13">
                  <c:v>14</c:v>
                </c:pt>
                <c:pt idx="14">
                  <c:v>34</c:v>
                </c:pt>
                <c:pt idx="15">
                  <c:v>17</c:v>
                </c:pt>
                <c:pt idx="16">
                  <c:v>18</c:v>
                </c:pt>
                <c:pt idx="17">
                  <c:v>17</c:v>
                </c:pt>
                <c:pt idx="18">
                  <c:v>26</c:v>
                </c:pt>
                <c:pt idx="19">
                  <c:v>18</c:v>
                </c:pt>
                <c:pt idx="20">
                  <c:v>25</c:v>
                </c:pt>
                <c:pt idx="21">
                  <c:v>27</c:v>
                </c:pt>
                <c:pt idx="22">
                  <c:v>23</c:v>
                </c:pt>
                <c:pt idx="23">
                  <c:v>19</c:v>
                </c:pt>
              </c:numCache>
            </c:numRef>
          </c:val>
          <c:smooth val="0"/>
          <c:extLst>
            <c:ext xmlns:c16="http://schemas.microsoft.com/office/drawing/2014/chart" uri="{C3380CC4-5D6E-409C-BE32-E72D297353CC}">
              <c16:uniqueId val="{00000000-340C-48D5-9AE6-E61173B5077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782374527"/>
        <c:axId val="1767749471"/>
      </c:lineChart>
      <c:catAx>
        <c:axId val="1782374527"/>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67749471"/>
        <c:crosses val="autoZero"/>
        <c:auto val="1"/>
        <c:lblAlgn val="ctr"/>
        <c:lblOffset val="100"/>
        <c:noMultiLvlLbl val="0"/>
      </c:catAx>
      <c:valAx>
        <c:axId val="1767749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82374527"/>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[sentiment analysis 1.xlsm]pivots !PivotTable4</c:name>
    <c:fmtId val="2"/>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AVERAGE RATING ANALYSIS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'pivots '!$E$13</c:f>
              <c:strCache>
                <c:ptCount val="1"/>
                <c:pt idx="0">
                  <c:v>Total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'pivots '!$D$14:$D$17</c:f>
              <c:strCache>
                <c:ptCount val="3"/>
                <c:pt idx="0">
                  <c:v>Accessories</c:v>
                </c:pt>
                <c:pt idx="1">
                  <c:v>Electronics</c:v>
                </c:pt>
                <c:pt idx="2">
                  <c:v>Fashion</c:v>
                </c:pt>
              </c:strCache>
            </c:strRef>
          </c:cat>
          <c:val>
            <c:numRef>
              <c:f>'pivots '!$E$14:$E$17</c:f>
              <c:numCache>
                <c:formatCode>0.00</c:formatCode>
                <c:ptCount val="3"/>
                <c:pt idx="0">
                  <c:v>3.1724137931034484</c:v>
                </c:pt>
                <c:pt idx="1">
                  <c:v>3.0958083832335328</c:v>
                </c:pt>
                <c:pt idx="2">
                  <c:v>3.0611111111111109</c:v>
                </c:pt>
              </c:numCache>
            </c:numRef>
          </c:val>
          <c:extLst>
            <c:ext xmlns:c16="http://schemas.microsoft.com/office/drawing/2014/chart" uri="{C3380CC4-5D6E-409C-BE32-E72D297353CC}">
              <c16:uniqueId val="{00000000-A528-4A22-BD7B-5E5CDBA242E8}"/>
            </c:ext>
          </c:extLst>
        </c:ser>
        <c:dLbls>
          <c:showLegendKey val="0"/>
          <c:showVal val="0"/>
          <c:showCatName val="0"/>
          <c:showSerName val="0"/>
          <c:showPercent val="0"/>
          <c:showBubbleSize val="0"/>
        </c:dLbls>
        <c:gapWidth val="100"/>
        <c:overlap val="-24"/>
        <c:axId val="1857725375"/>
        <c:axId val="1857717695"/>
      </c:barChart>
      <c:catAx>
        <c:axId val="18577253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717695"/>
        <c:crosses val="autoZero"/>
        <c:auto val="1"/>
        <c:lblAlgn val="ctr"/>
        <c:lblOffset val="100"/>
        <c:noMultiLvlLbl val="0"/>
      </c:catAx>
      <c:valAx>
        <c:axId val="185771769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77253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3">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8100" tIns="19050" rIns="38100" bIns="19050" anchor="ctr" anchorCtr="1">
      <a:spAutoFit/>
    </cs:bodyPr>
  </cs:dataLabel>
  <cs:dataLabelCallout>
    <cs:lnRef idx="0">
      <cs:styleClr val="auto"/>
    </cs:lnRef>
    <cs:fillRef idx="0"/>
    <cs:effectRef idx="0">
      <cs:styleClr val="auto"/>
    </cs:effectRef>
    <cs:fontRef idx="minor">
      <cs:styleClr val="auto"/>
    </cs:fontRef>
    <cs:spPr>
      <a:solidFill>
        <a:schemeClr val="lt1">
          <a:alpha val="90000"/>
        </a:schemeClr>
      </a:solidFill>
      <a:ln w="12700" cap="flat" cmpd="sng" algn="ctr">
        <a:solidFill>
          <a:schemeClr val="phClr"/>
        </a:solidFill>
        <a:round/>
      </a:ln>
      <a:effectLst>
        <a:outerShdw blurRad="50800" dist="38100" dir="2700000" algn="tl" rotWithShape="0">
          <a:schemeClr val="phClr">
            <a:lumMod val="75000"/>
            <a:alpha val="40000"/>
          </a:schemeClr>
        </a:outerShdw>
      </a:effectLst>
    </cs:spPr>
    <cs:defRPr sz="1000" b="0" i="0" u="none" strike="noStrike" kern="1200" baseline="0">
      <a:effectLst/>
    </cs:defRPr>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styleClr val="auto"/>
    </cs:lnRef>
    <cs:fillRef idx="0">
      <cs:styleClr val="auto"/>
    </cs:fillRef>
    <cs:effectRef idx="0">
      <cs:styleClr val="auto"/>
    </cs:effectRef>
    <cs:fontRef idx="minor">
      <a:schemeClr val="tx1"/>
    </cs:fontRef>
    <cs:spPr>
      <a:solidFill>
        <a:schemeClr val="phClr">
          <a:alpha val="90000"/>
        </a:schemeClr>
      </a:solidFill>
      <a:ln w="19050">
        <a:solidFill>
          <a:schemeClr val="phClr">
            <a:lumMod val="75000"/>
          </a:schemeClr>
        </a:solidFill>
      </a:ln>
      <a:effectLst>
        <a:innerShdw blurRad="114300">
          <a:schemeClr val="phClr">
            <a:lumMod val="75000"/>
          </a:schemeClr>
        </a:innerShdw>
      </a:effectLst>
      <a:scene3d>
        <a:camera prst="orthographicFront"/>
        <a:lightRig rig="threePt" dir="t"/>
      </a:scene3d>
      <a:sp3d contourW="19050" prstMaterial="flat">
        <a:contourClr>
          <a:schemeClr val="accent4">
            <a:lumMod val="75000"/>
          </a:schemeClr>
        </a:contourClr>
      </a:sp3d>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0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4</xdr:col>
      <xdr:colOff>320040</xdr:colOff>
      <xdr:row>0</xdr:row>
      <xdr:rowOff>0</xdr:rowOff>
    </xdr:from>
    <xdr:ext cx="6522720" cy="433452"/>
    <xdr:sp macro="" textlink="">
      <xdr:nvSpPr>
        <xdr:cNvPr id="2" name="TextBox 1">
          <a:extLst>
            <a:ext uri="{FF2B5EF4-FFF2-40B4-BE49-F238E27FC236}">
              <a16:creationId xmlns:a16="http://schemas.microsoft.com/office/drawing/2014/main" id="{FB61B390-8B57-DA87-4040-7D891503C0A5}"/>
            </a:ext>
          </a:extLst>
        </xdr:cNvPr>
        <xdr:cNvSpPr txBox="1"/>
      </xdr:nvSpPr>
      <xdr:spPr>
        <a:xfrm flipH="1">
          <a:off x="3368040" y="0"/>
          <a:ext cx="6522720" cy="433452"/>
        </a:xfrm>
        <a:prstGeom prst="rect">
          <a:avLst/>
        </a:prstGeom>
        <a:noFill/>
        <a:effectLst>
          <a:glow rad="101600">
            <a:schemeClr val="accent2">
              <a:satMod val="175000"/>
              <a:alpha val="40000"/>
            </a:schemeClr>
          </a:glo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2000" b="1">
              <a:latin typeface="Segoe UI" panose="020B0502040204020203" pitchFamily="34" charset="0"/>
              <a:cs typeface="Segoe UI" panose="020B0502040204020203" pitchFamily="34" charset="0"/>
            </a:rPr>
            <a:t>**</a:t>
          </a:r>
          <a:r>
            <a:rPr lang="en-IN" sz="2000" b="1" baseline="0">
              <a:latin typeface="Segoe UI" panose="020B0502040204020203" pitchFamily="34" charset="0"/>
              <a:cs typeface="Segoe UI" panose="020B0502040204020203" pitchFamily="34" charset="0"/>
            </a:rPr>
            <a:t> </a:t>
          </a:r>
          <a:r>
            <a:rPr lang="en-IN" sz="2000" b="1" u="sng" baseline="0">
              <a:latin typeface="Segoe UI" panose="020B0502040204020203" pitchFamily="34" charset="0"/>
              <a:cs typeface="Segoe UI" panose="020B0502040204020203" pitchFamily="34" charset="0"/>
            </a:rPr>
            <a:t>SENTIMENT  ANALYSIS </a:t>
          </a:r>
          <a:r>
            <a:rPr lang="en-IN" sz="2000" b="1" u="none" baseline="0">
              <a:latin typeface="Segoe UI" panose="020B0502040204020203" pitchFamily="34" charset="0"/>
              <a:cs typeface="Segoe UI" panose="020B0502040204020203" pitchFamily="34" charset="0"/>
            </a:rPr>
            <a:t> ( </a:t>
          </a:r>
          <a:r>
            <a:rPr lang="en-IN" sz="2000" b="1" u="sng" baseline="0">
              <a:latin typeface="Segoe UI" panose="020B0502040204020203" pitchFamily="34" charset="0"/>
              <a:cs typeface="Segoe UI" panose="020B0502040204020203" pitchFamily="34" charset="0"/>
            </a:rPr>
            <a:t>AMAZON REVIEWS </a:t>
          </a:r>
          <a:r>
            <a:rPr lang="en-IN" sz="2000" b="1" u="none" baseline="0">
              <a:latin typeface="Segoe UI" panose="020B0502040204020203" pitchFamily="34" charset="0"/>
              <a:cs typeface="Segoe UI" panose="020B0502040204020203" pitchFamily="34" charset="0"/>
            </a:rPr>
            <a:t>) **</a:t>
          </a:r>
          <a:endParaRPr lang="en-IN" sz="2000" b="1">
            <a:latin typeface="Segoe UI" panose="020B0502040204020203" pitchFamily="34" charset="0"/>
            <a:cs typeface="Segoe UI" panose="020B0502040204020203" pitchFamily="34" charset="0"/>
          </a:endParaRPr>
        </a:p>
      </xdr:txBody>
    </xdr:sp>
    <xdr:clientData/>
  </xdr:oneCellAnchor>
  <xdr:twoCellAnchor>
    <xdr:from>
      <xdr:col>4</xdr:col>
      <xdr:colOff>1097280</xdr:colOff>
      <xdr:row>10</xdr:row>
      <xdr:rowOff>7620</xdr:rowOff>
    </xdr:from>
    <xdr:to>
      <xdr:col>10</xdr:col>
      <xdr:colOff>152400</xdr:colOff>
      <xdr:row>11</xdr:row>
      <xdr:rowOff>205740</xdr:rowOff>
    </xdr:to>
    <xdr:sp macro="" textlink="">
      <xdr:nvSpPr>
        <xdr:cNvPr id="3" name="TextBox 2">
          <a:extLst>
            <a:ext uri="{FF2B5EF4-FFF2-40B4-BE49-F238E27FC236}">
              <a16:creationId xmlns:a16="http://schemas.microsoft.com/office/drawing/2014/main" id="{4DB2076B-1F3C-8C96-5616-EE3546BFF88F}"/>
            </a:ext>
          </a:extLst>
        </xdr:cNvPr>
        <xdr:cNvSpPr txBox="1"/>
      </xdr:nvSpPr>
      <xdr:spPr>
        <a:xfrm>
          <a:off x="6309360" y="2232660"/>
          <a:ext cx="4686300" cy="411480"/>
        </a:xfrm>
        <a:prstGeom prst="rect">
          <a:avLst/>
        </a:prstGeom>
        <a:solidFill>
          <a:schemeClr val="accent2">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n-IN" sz="1800" b="1">
              <a:solidFill>
                <a:schemeClr val="tx1"/>
              </a:solidFill>
              <a:latin typeface="Segoe UI" panose="020B0502040204020203" pitchFamily="34" charset="0"/>
              <a:cs typeface="Segoe UI" panose="020B0502040204020203" pitchFamily="34" charset="0"/>
            </a:rPr>
            <a:t>** </a:t>
          </a:r>
          <a:r>
            <a:rPr lang="en-IN" sz="1800" b="1" u="sng">
              <a:solidFill>
                <a:schemeClr val="tx1"/>
              </a:solidFill>
              <a:latin typeface="Segoe UI" panose="020B0502040204020203" pitchFamily="34" charset="0"/>
              <a:cs typeface="Segoe UI" panose="020B0502040204020203" pitchFamily="34" charset="0"/>
            </a:rPr>
            <a:t>DATA VISULATION USING CHARTS</a:t>
          </a:r>
          <a:r>
            <a:rPr lang="en-IN" sz="1800" b="1" u="none" baseline="0">
              <a:solidFill>
                <a:schemeClr val="tx1"/>
              </a:solidFill>
              <a:latin typeface="Segoe UI" panose="020B0502040204020203" pitchFamily="34" charset="0"/>
              <a:cs typeface="Segoe UI" panose="020B0502040204020203" pitchFamily="34" charset="0"/>
            </a:rPr>
            <a:t> **</a:t>
          </a:r>
          <a:endParaRPr lang="en-IN" sz="1800" b="1">
            <a:solidFill>
              <a:schemeClr val="tx1"/>
            </a:solidFill>
            <a:latin typeface="Segoe UI" panose="020B0502040204020203" pitchFamily="34" charset="0"/>
            <a:cs typeface="Segoe UI" panose="020B0502040204020203" pitchFamily="34" charset="0"/>
          </a:endParaRPr>
        </a:p>
      </xdr:txBody>
    </xdr:sp>
    <xdr:clientData/>
  </xdr:twoCellAnchor>
  <xdr:twoCellAnchor>
    <xdr:from>
      <xdr:col>0</xdr:col>
      <xdr:colOff>22860</xdr:colOff>
      <xdr:row>16</xdr:row>
      <xdr:rowOff>0</xdr:rowOff>
    </xdr:from>
    <xdr:to>
      <xdr:col>3</xdr:col>
      <xdr:colOff>15240</xdr:colOff>
      <xdr:row>30</xdr:row>
      <xdr:rowOff>0</xdr:rowOff>
    </xdr:to>
    <xdr:graphicFrame macro="">
      <xdr:nvGraphicFramePr>
        <xdr:cNvPr id="4" name="Chart 3">
          <a:extLst>
            <a:ext uri="{FF2B5EF4-FFF2-40B4-BE49-F238E27FC236}">
              <a16:creationId xmlns:a16="http://schemas.microsoft.com/office/drawing/2014/main" id="{A68CAE2C-7C48-487D-AC41-6908BC123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16</xdr:row>
      <xdr:rowOff>0</xdr:rowOff>
    </xdr:from>
    <xdr:to>
      <xdr:col>9</xdr:col>
      <xdr:colOff>0</xdr:colOff>
      <xdr:row>29</xdr:row>
      <xdr:rowOff>205740</xdr:rowOff>
    </xdr:to>
    <xdr:graphicFrame macro="">
      <xdr:nvGraphicFramePr>
        <xdr:cNvPr id="5" name="Chart 4">
          <a:extLst>
            <a:ext uri="{FF2B5EF4-FFF2-40B4-BE49-F238E27FC236}">
              <a16:creationId xmlns:a16="http://schemas.microsoft.com/office/drawing/2014/main" id="{297EFE81-5753-4040-A10C-30F72E66E6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16</xdr:row>
      <xdr:rowOff>0</xdr:rowOff>
    </xdr:from>
    <xdr:to>
      <xdr:col>16</xdr:col>
      <xdr:colOff>22860</xdr:colOff>
      <xdr:row>30</xdr:row>
      <xdr:rowOff>0</xdr:rowOff>
    </xdr:to>
    <xdr:graphicFrame macro="">
      <xdr:nvGraphicFramePr>
        <xdr:cNvPr id="6" name="Chart 5">
          <a:extLst>
            <a:ext uri="{FF2B5EF4-FFF2-40B4-BE49-F238E27FC236}">
              <a16:creationId xmlns:a16="http://schemas.microsoft.com/office/drawing/2014/main" id="{3379AAB8-05D8-41CD-95A2-964743FF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34</xdr:row>
      <xdr:rowOff>0</xdr:rowOff>
    </xdr:from>
    <xdr:to>
      <xdr:col>4</xdr:col>
      <xdr:colOff>22860</xdr:colOff>
      <xdr:row>46</xdr:row>
      <xdr:rowOff>205740</xdr:rowOff>
    </xdr:to>
    <xdr:graphicFrame macro="">
      <xdr:nvGraphicFramePr>
        <xdr:cNvPr id="7" name="Chart 6">
          <a:extLst>
            <a:ext uri="{FF2B5EF4-FFF2-40B4-BE49-F238E27FC236}">
              <a16:creationId xmlns:a16="http://schemas.microsoft.com/office/drawing/2014/main" id="{6933BB05-9961-43A1-8ADD-F0D7D2AFB9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0</xdr:colOff>
      <xdr:row>34</xdr:row>
      <xdr:rowOff>0</xdr:rowOff>
    </xdr:from>
    <xdr:to>
      <xdr:col>8</xdr:col>
      <xdr:colOff>0</xdr:colOff>
      <xdr:row>46</xdr:row>
      <xdr:rowOff>20955</xdr:rowOff>
    </xdr:to>
    <mc:AlternateContent xmlns:mc="http://schemas.openxmlformats.org/markup-compatibility/2006" xmlns:a14="http://schemas.microsoft.com/office/drawing/2010/main">
      <mc:Choice Requires="a14">
        <xdr:graphicFrame macro="">
          <xdr:nvGraphicFramePr>
            <xdr:cNvPr id="8" name="product_category 1">
              <a:extLst>
                <a:ext uri="{FF2B5EF4-FFF2-40B4-BE49-F238E27FC236}">
                  <a16:creationId xmlns:a16="http://schemas.microsoft.com/office/drawing/2014/main" id="{0C0B9F56-6BA5-4E2D-9D2C-2298F8E6A741}"/>
                </a:ext>
              </a:extLst>
            </xdr:cNvPr>
            <xdr:cNvGraphicFramePr/>
          </xdr:nvGraphicFramePr>
          <xdr:xfrm>
            <a:off x="0" y="0"/>
            <a:ext cx="0" cy="0"/>
          </xdr:xfrm>
          <a:graphic>
            <a:graphicData uri="http://schemas.microsoft.com/office/drawing/2010/slicer">
              <sle:slicer xmlns:sle="http://schemas.microsoft.com/office/drawing/2010/slicer" name="product_category 1"/>
            </a:graphicData>
          </a:graphic>
        </xdr:graphicFrame>
      </mc:Choice>
      <mc:Fallback xmlns="">
        <xdr:sp macro="" textlink="">
          <xdr:nvSpPr>
            <xdr:cNvPr id="0" name=""/>
            <xdr:cNvSpPr>
              <a:spLocks noTextEdit="1"/>
            </xdr:cNvSpPr>
          </xdr:nvSpPr>
          <xdr:spPr>
            <a:xfrm>
              <a:off x="7299960" y="74371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182880</xdr:colOff>
      <xdr:row>34</xdr:row>
      <xdr:rowOff>0</xdr:rowOff>
    </xdr:from>
    <xdr:to>
      <xdr:col>10</xdr:col>
      <xdr:colOff>259080</xdr:colOff>
      <xdr:row>46</xdr:row>
      <xdr:rowOff>20955</xdr:rowOff>
    </xdr:to>
    <mc:AlternateContent xmlns:mc="http://schemas.openxmlformats.org/markup-compatibility/2006" xmlns:a14="http://schemas.microsoft.com/office/drawing/2010/main">
      <mc:Choice Requires="a14">
        <xdr:graphicFrame macro="">
          <xdr:nvGraphicFramePr>
            <xdr:cNvPr id="9" name="sentiment 1">
              <a:extLst>
                <a:ext uri="{FF2B5EF4-FFF2-40B4-BE49-F238E27FC236}">
                  <a16:creationId xmlns:a16="http://schemas.microsoft.com/office/drawing/2014/main" id="{A9DAEDD4-4E46-4DD7-87D2-AE741D8DD7F6}"/>
                </a:ext>
              </a:extLst>
            </xdr:cNvPr>
            <xdr:cNvGraphicFramePr/>
          </xdr:nvGraphicFramePr>
          <xdr:xfrm>
            <a:off x="0" y="0"/>
            <a:ext cx="0" cy="0"/>
          </xdr:xfrm>
          <a:graphic>
            <a:graphicData uri="http://schemas.microsoft.com/office/drawing/2010/slicer">
              <sle:slicer xmlns:sle="http://schemas.microsoft.com/office/drawing/2010/slicer" name="sentiment 1"/>
            </a:graphicData>
          </a:graphic>
        </xdr:graphicFrame>
      </mc:Choice>
      <mc:Fallback xmlns="">
        <xdr:sp macro="" textlink="">
          <xdr:nvSpPr>
            <xdr:cNvPr id="0" name=""/>
            <xdr:cNvSpPr>
              <a:spLocks noTextEdit="1"/>
            </xdr:cNvSpPr>
          </xdr:nvSpPr>
          <xdr:spPr>
            <a:xfrm>
              <a:off x="9311640" y="74371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480060</xdr:colOff>
      <xdr:row>34</xdr:row>
      <xdr:rowOff>0</xdr:rowOff>
    </xdr:from>
    <xdr:to>
      <xdr:col>11</xdr:col>
      <xdr:colOff>182880</xdr:colOff>
      <xdr:row>46</xdr:row>
      <xdr:rowOff>20955</xdr:rowOff>
    </xdr:to>
    <mc:AlternateContent xmlns:mc="http://schemas.openxmlformats.org/markup-compatibility/2006" xmlns:a14="http://schemas.microsoft.com/office/drawing/2010/main">
      <mc:Choice Requires="a14">
        <xdr:graphicFrame macro="">
          <xdr:nvGraphicFramePr>
            <xdr:cNvPr id="10" name="month 1">
              <a:extLst>
                <a:ext uri="{FF2B5EF4-FFF2-40B4-BE49-F238E27FC236}">
                  <a16:creationId xmlns:a16="http://schemas.microsoft.com/office/drawing/2014/main" id="{86D10818-F83B-4F41-B334-1F170DD5156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1361420" y="743712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4</xdr:col>
      <xdr:colOff>807720</xdr:colOff>
      <xdr:row>49</xdr:row>
      <xdr:rowOff>7620</xdr:rowOff>
    </xdr:from>
    <xdr:ext cx="1973580" cy="419100"/>
    <xdr:sp macro="" textlink="">
      <xdr:nvSpPr>
        <xdr:cNvPr id="11" name="TextBox 10">
          <a:extLst>
            <a:ext uri="{FF2B5EF4-FFF2-40B4-BE49-F238E27FC236}">
              <a16:creationId xmlns:a16="http://schemas.microsoft.com/office/drawing/2014/main" id="{4A0DBD84-C34F-A46B-6009-F4337679E80C}"/>
            </a:ext>
          </a:extLst>
        </xdr:cNvPr>
        <xdr:cNvSpPr txBox="1"/>
      </xdr:nvSpPr>
      <xdr:spPr>
        <a:xfrm>
          <a:off x="5524500" y="10645140"/>
          <a:ext cx="1973580" cy="4191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IN" sz="1600" b="1">
              <a:latin typeface="Segoe UI" panose="020B0502040204020203" pitchFamily="34" charset="0"/>
              <a:cs typeface="Segoe UI" panose="020B0502040204020203" pitchFamily="34" charset="0"/>
            </a:rPr>
            <a:t>**   </a:t>
          </a:r>
          <a:r>
            <a:rPr lang="en-IN" sz="1600" b="1" u="sng">
              <a:latin typeface="Segoe UI" panose="020B0502040204020203" pitchFamily="34" charset="0"/>
              <a:cs typeface="Segoe UI" panose="020B0502040204020203" pitchFamily="34" charset="0"/>
            </a:rPr>
            <a:t>INSIGHTS</a:t>
          </a:r>
          <a:r>
            <a:rPr lang="en-IN" sz="1600" b="1" u="none">
              <a:latin typeface="Segoe UI" panose="020B0502040204020203" pitchFamily="34" charset="0"/>
              <a:cs typeface="Segoe UI" panose="020B0502040204020203" pitchFamily="34" charset="0"/>
            </a:rPr>
            <a:t>   **</a:t>
          </a:r>
          <a:endParaRPr lang="en-IN" sz="1600" b="1">
            <a:latin typeface="Segoe UI" panose="020B0502040204020203" pitchFamily="34" charset="0"/>
            <a:cs typeface="Segoe UI" panose="020B0502040204020203" pitchFamily="34" charset="0"/>
          </a:endParaRPr>
        </a:p>
      </xdr:txBody>
    </xdr:sp>
    <xdr:clientData/>
  </xdr:oneCellAnchor>
  <xdr:twoCellAnchor>
    <xdr:from>
      <xdr:col>0</xdr:col>
      <xdr:colOff>7620</xdr:colOff>
      <xdr:row>52</xdr:row>
      <xdr:rowOff>7620</xdr:rowOff>
    </xdr:from>
    <xdr:to>
      <xdr:col>4</xdr:col>
      <xdr:colOff>312420</xdr:colOff>
      <xdr:row>61</xdr:row>
      <xdr:rowOff>30480</xdr:rowOff>
    </xdr:to>
    <xdr:sp macro="" textlink="">
      <xdr:nvSpPr>
        <xdr:cNvPr id="12" name="TextBox 11">
          <a:extLst>
            <a:ext uri="{FF2B5EF4-FFF2-40B4-BE49-F238E27FC236}">
              <a16:creationId xmlns:a16="http://schemas.microsoft.com/office/drawing/2014/main" id="{BAD0E3F6-921E-9991-5E0F-8C07D09082D4}"/>
            </a:ext>
          </a:extLst>
        </xdr:cNvPr>
        <xdr:cNvSpPr txBox="1"/>
      </xdr:nvSpPr>
      <xdr:spPr>
        <a:xfrm>
          <a:off x="7620" y="11285220"/>
          <a:ext cx="5021580" cy="1943100"/>
        </a:xfrm>
        <a:prstGeom prst="rect">
          <a:avLst/>
        </a:prstGeom>
        <a:solidFill>
          <a:schemeClr val="accent2">
            <a:lumMod val="60000"/>
            <a:lumOff val="40000"/>
          </a:schemeClr>
        </a:solidFill>
        <a:ln w="9525" cmpd="sng">
          <a:solidFill>
            <a:schemeClr val="accent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latin typeface="Segoe UI" panose="020B0502040204020203" pitchFamily="34" charset="0"/>
              <a:cs typeface="Segoe UI" panose="020B0502040204020203" pitchFamily="34" charset="0"/>
            </a:rPr>
            <a:t>☑</a:t>
          </a:r>
          <a:r>
            <a:rPr lang="en-IN" sz="1400" b="1" baseline="0">
              <a:latin typeface="Segoe UI" panose="020B0502040204020203" pitchFamily="34" charset="0"/>
              <a:cs typeface="Segoe UI" panose="020B0502040204020203" pitchFamily="34" charset="0"/>
            </a:rPr>
            <a:t>  most reviews  are positive.</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electronics  category</a:t>
          </a:r>
          <a:r>
            <a:rPr lang="en-IN" sz="1400" b="1" baseline="0">
              <a:latin typeface="Segoe UI" panose="020B0502040204020203" pitchFamily="34" charset="0"/>
              <a:cs typeface="Segoe UI" panose="020B0502040204020203" pitchFamily="34" charset="0"/>
            </a:rPr>
            <a:t>  has highest  reviews.</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negative  reviews has</a:t>
          </a:r>
          <a:r>
            <a:rPr lang="en-IN" sz="1400" b="1" baseline="0">
              <a:latin typeface="Segoe UI" panose="020B0502040204020203" pitchFamily="34" charset="0"/>
              <a:cs typeface="Segoe UI" panose="020B0502040204020203" pitchFamily="34" charset="0"/>
            </a:rPr>
            <a:t> low rating (1-2).</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sales</a:t>
          </a:r>
          <a:r>
            <a:rPr lang="en-IN" sz="1400" b="1" baseline="0">
              <a:latin typeface="Segoe UI" panose="020B0502040204020203" pitchFamily="34" charset="0"/>
              <a:cs typeface="Segoe UI" panose="020B0502040204020203" pitchFamily="34" charset="0"/>
            </a:rPr>
            <a:t> / reviews  increase  over time.</a:t>
          </a:r>
          <a:endParaRPr lang="en-IN" sz="1400" b="1">
            <a:latin typeface="Segoe UI" panose="020B0502040204020203" pitchFamily="34" charset="0"/>
            <a:cs typeface="Segoe UI" panose="020B0502040204020203" pitchFamily="34" charset="0"/>
          </a:endParaRPr>
        </a:p>
      </xdr:txBody>
    </xdr:sp>
    <xdr:clientData/>
  </xdr:twoCellAnchor>
  <xdr:oneCellAnchor>
    <xdr:from>
      <xdr:col>4</xdr:col>
      <xdr:colOff>832429</xdr:colOff>
      <xdr:row>63</xdr:row>
      <xdr:rowOff>0</xdr:rowOff>
    </xdr:from>
    <xdr:ext cx="3107109" cy="365228"/>
    <xdr:sp macro="" textlink="">
      <xdr:nvSpPr>
        <xdr:cNvPr id="13" name="TextBox 12">
          <a:extLst>
            <a:ext uri="{FF2B5EF4-FFF2-40B4-BE49-F238E27FC236}">
              <a16:creationId xmlns:a16="http://schemas.microsoft.com/office/drawing/2014/main" id="{8810F9A2-97B2-F5D0-4CA0-1DD936F8B823}"/>
            </a:ext>
          </a:extLst>
        </xdr:cNvPr>
        <xdr:cNvSpPr txBox="1"/>
      </xdr:nvSpPr>
      <xdr:spPr>
        <a:xfrm flipH="1">
          <a:off x="5549209" y="13624560"/>
          <a:ext cx="3107109" cy="36522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600" b="1">
              <a:latin typeface="Segoe UI" panose="020B0502040204020203" pitchFamily="34" charset="0"/>
              <a:cs typeface="Segoe UI" panose="020B0502040204020203" pitchFamily="34" charset="0"/>
            </a:rPr>
            <a:t>** </a:t>
          </a:r>
          <a:r>
            <a:rPr lang="en-IN" sz="1600" b="1" u="sng">
              <a:latin typeface="Segoe UI" panose="020B0502040204020203" pitchFamily="34" charset="0"/>
              <a:cs typeface="Segoe UI" panose="020B0502040204020203" pitchFamily="34" charset="0"/>
            </a:rPr>
            <a:t>RECOMMENDATIONS</a:t>
          </a:r>
          <a:r>
            <a:rPr lang="en-IN" sz="1600" b="1" u="none" baseline="0">
              <a:latin typeface="Segoe UI" panose="020B0502040204020203" pitchFamily="34" charset="0"/>
              <a:cs typeface="Segoe UI" panose="020B0502040204020203" pitchFamily="34" charset="0"/>
            </a:rPr>
            <a:t>  **</a:t>
          </a:r>
          <a:endParaRPr lang="en-IN" sz="1600" b="1">
            <a:latin typeface="Segoe UI" panose="020B0502040204020203" pitchFamily="34" charset="0"/>
            <a:cs typeface="Segoe UI" panose="020B0502040204020203" pitchFamily="34" charset="0"/>
          </a:endParaRPr>
        </a:p>
      </xdr:txBody>
    </xdr:sp>
    <xdr:clientData/>
  </xdr:oneCellAnchor>
  <xdr:twoCellAnchor>
    <xdr:from>
      <xdr:col>0</xdr:col>
      <xdr:colOff>15240</xdr:colOff>
      <xdr:row>67</xdr:row>
      <xdr:rowOff>15240</xdr:rowOff>
    </xdr:from>
    <xdr:to>
      <xdr:col>4</xdr:col>
      <xdr:colOff>883920</xdr:colOff>
      <xdr:row>77</xdr:row>
      <xdr:rowOff>38100</xdr:rowOff>
    </xdr:to>
    <xdr:sp macro="" textlink="">
      <xdr:nvSpPr>
        <xdr:cNvPr id="14" name="TextBox 13">
          <a:extLst>
            <a:ext uri="{FF2B5EF4-FFF2-40B4-BE49-F238E27FC236}">
              <a16:creationId xmlns:a16="http://schemas.microsoft.com/office/drawing/2014/main" id="{F237498B-285F-D9AE-CB17-2017E93188B2}"/>
            </a:ext>
          </a:extLst>
        </xdr:cNvPr>
        <xdr:cNvSpPr txBox="1"/>
      </xdr:nvSpPr>
      <xdr:spPr>
        <a:xfrm>
          <a:off x="15240" y="14493240"/>
          <a:ext cx="5585460" cy="2156460"/>
        </a:xfrm>
        <a:prstGeom prst="rect">
          <a:avLst/>
        </a:prstGeom>
        <a:solidFill>
          <a:schemeClr val="accent2">
            <a:lumMod val="60000"/>
            <a:lumOff val="40000"/>
          </a:schemeClr>
        </a:solidFill>
        <a:ln w="9525" cmpd="sng">
          <a:solidFill>
            <a:schemeClr val="accent2">
              <a:lumMod val="60000"/>
              <a:lumOff val="4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400" b="1">
              <a:latin typeface="Segoe UI" panose="020B0502040204020203" pitchFamily="34" charset="0"/>
              <a:cs typeface="Segoe UI" panose="020B0502040204020203" pitchFamily="34" charset="0"/>
            </a:rPr>
            <a:t>☑  improve</a:t>
          </a:r>
          <a:r>
            <a:rPr lang="en-IN" sz="1400" b="1" baseline="0">
              <a:latin typeface="Segoe UI" panose="020B0502040204020203" pitchFamily="34" charset="0"/>
              <a:cs typeface="Segoe UI" panose="020B0502040204020203" pitchFamily="34" charset="0"/>
            </a:rPr>
            <a:t> low rated  products.</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focus marketing</a:t>
          </a:r>
          <a:r>
            <a:rPr lang="en-IN" sz="1400" b="1" baseline="0">
              <a:latin typeface="Segoe UI" panose="020B0502040204020203" pitchFamily="34" charset="0"/>
              <a:cs typeface="Segoe UI" panose="020B0502040204020203" pitchFamily="34" charset="0"/>
            </a:rPr>
            <a:t> on high rated  categories.</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monitor</a:t>
          </a:r>
          <a:r>
            <a:rPr lang="en-IN" sz="1400" b="1" baseline="0">
              <a:latin typeface="Segoe UI" panose="020B0502040204020203" pitchFamily="34" charset="0"/>
              <a:cs typeface="Segoe UI" panose="020B0502040204020203" pitchFamily="34" charset="0"/>
            </a:rPr>
            <a:t>  negative reviews monthly.</a:t>
          </a:r>
          <a:endParaRPr lang="en-IN" sz="1400" b="1">
            <a:latin typeface="Segoe UI" panose="020B0502040204020203" pitchFamily="34" charset="0"/>
            <a:cs typeface="Segoe UI" panose="020B0502040204020203" pitchFamily="34" charset="0"/>
          </a:endParaRPr>
        </a:p>
        <a:p>
          <a:endParaRPr lang="en-IN" sz="1400" b="1">
            <a:latin typeface="Segoe UI" panose="020B0502040204020203" pitchFamily="34" charset="0"/>
            <a:cs typeface="Segoe UI" panose="020B0502040204020203" pitchFamily="34" charset="0"/>
          </a:endParaRPr>
        </a:p>
        <a:p>
          <a:r>
            <a:rPr lang="en-IN" sz="1400" b="1">
              <a:latin typeface="Segoe UI" panose="020B0502040204020203" pitchFamily="34" charset="0"/>
              <a:cs typeface="Segoe UI" panose="020B0502040204020203" pitchFamily="34" charset="0"/>
            </a:rPr>
            <a:t>☑  improve</a:t>
          </a:r>
          <a:r>
            <a:rPr lang="en-IN" sz="1400" b="1" baseline="0">
              <a:latin typeface="Segoe UI" panose="020B0502040204020203" pitchFamily="34" charset="0"/>
              <a:cs typeface="Segoe UI" panose="020B0502040204020203" pitchFamily="34" charset="0"/>
            </a:rPr>
            <a:t>  products  quality.</a:t>
          </a:r>
          <a:endParaRPr lang="en-IN" sz="1400" b="1">
            <a:latin typeface="Segoe UI" panose="020B0502040204020203" pitchFamily="34" charset="0"/>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KEERTHI" refreshedDate="46114.551381828707" createdVersion="8" refreshedVersion="8" minRefreshableVersion="3" recordCount="550" xr:uid="{F8BA7D8C-A1E1-4489-A270-D3FFC688A957}">
  <cacheSource type="worksheet">
    <worksheetSource name="sentiment"/>
  </cacheSource>
  <cacheFields count="8">
    <cacheField name="review_id" numFmtId="0">
      <sharedItems containsSemiMixedTypes="0" containsString="0" containsNumber="1" containsInteger="1" minValue="1" maxValue="550"/>
    </cacheField>
    <cacheField name="date" numFmtId="14">
      <sharedItems containsSemiMixedTypes="0" containsNonDate="0" containsDate="1" containsString="0" minDate="2024-01-02T00:00:00" maxDate="2025-12-02T00:00:00"/>
    </cacheField>
    <cacheField name="month" numFmtId="14">
      <sharedItems count="24">
        <s v="Jan-2024"/>
        <s v="Apr-2024"/>
        <s v="Feb-2024"/>
        <s v="Jul-2025"/>
        <s v="Apr-2025"/>
        <s v="Dec-2024"/>
        <s v="Mar-2024"/>
        <s v="Aug-2024"/>
        <s v="Oct-2025"/>
        <s v="Jun-2025"/>
        <s v="Oct-2024"/>
        <s v="Feb-2025"/>
        <s v="Sep-2024"/>
        <s v="Aug-2025"/>
        <s v="Nov-2025"/>
        <s v="Sep-2025"/>
        <s v="Jun-2024"/>
        <s v="May-2025"/>
        <s v="May-2024"/>
        <s v="Jul-2024"/>
        <s v="Nov-2024"/>
        <s v="Mar-2025"/>
        <s v="Jan-2025"/>
        <s v="Dec-2025"/>
      </sharedItems>
    </cacheField>
    <cacheField name="product_name" numFmtId="0">
      <sharedItems/>
    </cacheField>
    <cacheField name="product_category" numFmtId="0">
      <sharedItems count="3">
        <s v="Fashion"/>
        <s v="Accessories"/>
        <s v="Electronics"/>
      </sharedItems>
    </cacheField>
    <cacheField name="review_text" numFmtId="0">
      <sharedItems/>
    </cacheField>
    <cacheField name="rating" numFmtId="0">
      <sharedItems containsSemiMixedTypes="0" containsString="0" containsNumber="1" containsInteger="1" minValue="1" maxValue="5"/>
    </cacheField>
    <cacheField name="sentiment" numFmtId="0">
      <sharedItems count="3">
        <s v="Neutral"/>
        <s v="Positive"/>
        <s v="Negative"/>
      </sharedItems>
    </cacheField>
  </cacheFields>
  <extLst>
    <ext xmlns:x14="http://schemas.microsoft.com/office/spreadsheetml/2009/9/main" uri="{725AE2AE-9491-48be-B2B4-4EB974FC3084}">
      <x14:pivotCacheDefinition pivotCacheId="1041693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50">
  <r>
    <n v="1"/>
    <d v="2024-01-26T00:00:00"/>
    <x v="0"/>
    <s v="Backpack"/>
    <x v="0"/>
    <s v="Average quality"/>
    <n v="3"/>
    <x v="0"/>
  </r>
  <r>
    <n v="2"/>
    <d v="2024-04-14T00:00:00"/>
    <x v="1"/>
    <s v="Backpack"/>
    <x v="1"/>
    <s v="Amazing experience"/>
    <n v="4"/>
    <x v="1"/>
  </r>
  <r>
    <n v="3"/>
    <d v="2024-02-02T00:00:00"/>
    <x v="2"/>
    <s v="Phone"/>
    <x v="2"/>
    <s v="Very good quality"/>
    <n v="5"/>
    <x v="1"/>
  </r>
  <r>
    <n v="4"/>
    <d v="2025-07-28T00:00:00"/>
    <x v="3"/>
    <s v="Laptop"/>
    <x v="1"/>
    <s v="Amazing experience"/>
    <n v="4"/>
    <x v="1"/>
  </r>
  <r>
    <n v="5"/>
    <d v="2025-04-04T00:00:00"/>
    <x v="4"/>
    <s v="Watch"/>
    <x v="0"/>
    <s v="Bad quality"/>
    <n v="1"/>
    <x v="2"/>
  </r>
  <r>
    <n v="6"/>
    <d v="2024-12-14T00:00:00"/>
    <x v="5"/>
    <s v="Headphones"/>
    <x v="2"/>
    <s v="Very good quality"/>
    <n v="5"/>
    <x v="1"/>
  </r>
  <r>
    <n v="7"/>
    <d v="2024-04-04T00:00:00"/>
    <x v="1"/>
    <s v="Shoes"/>
    <x v="2"/>
    <s v="Very disappointing"/>
    <n v="1"/>
    <x v="2"/>
  </r>
  <r>
    <n v="8"/>
    <d v="2024-02-14T00:00:00"/>
    <x v="2"/>
    <s v="Backpack"/>
    <x v="0"/>
    <s v="Waste of money"/>
    <n v="2"/>
    <x v="2"/>
  </r>
  <r>
    <n v="9"/>
    <d v="2024-03-21T00:00:00"/>
    <x v="6"/>
    <s v="Watch"/>
    <x v="0"/>
    <s v="Amazing experience"/>
    <n v="5"/>
    <x v="1"/>
  </r>
  <r>
    <n v="10"/>
    <d v="2024-03-12T00:00:00"/>
    <x v="6"/>
    <s v="Phone"/>
    <x v="1"/>
    <s v="Not worth it"/>
    <n v="1"/>
    <x v="2"/>
  </r>
  <r>
    <n v="11"/>
    <d v="2024-08-26T00:00:00"/>
    <x v="7"/>
    <s v="Tablet"/>
    <x v="2"/>
    <s v="Poor performance"/>
    <n v="1"/>
    <x v="2"/>
  </r>
  <r>
    <n v="12"/>
    <d v="2025-10-12T00:00:00"/>
    <x v="8"/>
    <s v="Tablet"/>
    <x v="0"/>
    <s v="Not worth it"/>
    <n v="2"/>
    <x v="2"/>
  </r>
  <r>
    <n v="13"/>
    <d v="2024-08-02T00:00:00"/>
    <x v="7"/>
    <s v="Backpack"/>
    <x v="0"/>
    <s v="Bad quality"/>
    <n v="2"/>
    <x v="2"/>
  </r>
  <r>
    <n v="14"/>
    <d v="2025-06-30T00:00:00"/>
    <x v="9"/>
    <s v="Backpack"/>
    <x v="2"/>
    <s v="Average quality"/>
    <n v="3"/>
    <x v="0"/>
  </r>
  <r>
    <n v="15"/>
    <d v="2024-10-03T00:00:00"/>
    <x v="10"/>
    <s v="Backpack"/>
    <x v="1"/>
    <s v="Waste of money"/>
    <n v="2"/>
    <x v="2"/>
  </r>
  <r>
    <n v="16"/>
    <d v="2024-02-27T00:00:00"/>
    <x v="2"/>
    <s v="Laptop"/>
    <x v="2"/>
    <s v="Loved it"/>
    <n v="5"/>
    <x v="1"/>
  </r>
  <r>
    <n v="17"/>
    <d v="2024-03-08T00:00:00"/>
    <x v="6"/>
    <s v="Laptop"/>
    <x v="1"/>
    <s v="Very disappointing"/>
    <n v="2"/>
    <x v="2"/>
  </r>
  <r>
    <n v="18"/>
    <d v="2025-02-09T00:00:00"/>
    <x v="11"/>
    <s v="Backpack"/>
    <x v="0"/>
    <s v="Very good quality"/>
    <n v="5"/>
    <x v="1"/>
  </r>
  <r>
    <n v="19"/>
    <d v="2024-09-09T00:00:00"/>
    <x v="12"/>
    <s v="Backpack"/>
    <x v="1"/>
    <s v="Waste of money"/>
    <n v="1"/>
    <x v="2"/>
  </r>
  <r>
    <n v="20"/>
    <d v="2025-08-20T00:00:00"/>
    <x v="13"/>
    <s v="Shoes"/>
    <x v="0"/>
    <s v="Not worth it"/>
    <n v="2"/>
    <x v="2"/>
  </r>
  <r>
    <n v="21"/>
    <d v="2024-04-03T00:00:00"/>
    <x v="1"/>
    <s v="Tablet"/>
    <x v="2"/>
    <s v="Excellent product"/>
    <n v="5"/>
    <x v="1"/>
  </r>
  <r>
    <n v="22"/>
    <d v="2025-11-27T00:00:00"/>
    <x v="14"/>
    <s v="Shoes"/>
    <x v="1"/>
    <s v="Excellent product"/>
    <n v="4"/>
    <x v="1"/>
  </r>
  <r>
    <n v="23"/>
    <d v="2025-09-02T00:00:00"/>
    <x v="15"/>
    <s v="Shoes"/>
    <x v="1"/>
    <s v="Very disappointing"/>
    <n v="2"/>
    <x v="2"/>
  </r>
  <r>
    <n v="24"/>
    <d v="2025-11-27T00:00:00"/>
    <x v="14"/>
    <s v="Backpack"/>
    <x v="2"/>
    <s v="Fine for use"/>
    <n v="3"/>
    <x v="0"/>
  </r>
  <r>
    <n v="25"/>
    <d v="2024-04-24T00:00:00"/>
    <x v="1"/>
    <s v="Headphones"/>
    <x v="0"/>
    <s v="Not worth it"/>
    <n v="2"/>
    <x v="2"/>
  </r>
  <r>
    <n v="26"/>
    <d v="2024-09-26T00:00:00"/>
    <x v="12"/>
    <s v="Watch"/>
    <x v="2"/>
    <s v="Waste of money"/>
    <n v="1"/>
    <x v="2"/>
  </r>
  <r>
    <n v="27"/>
    <d v="2025-10-16T00:00:00"/>
    <x v="8"/>
    <s v="Watch"/>
    <x v="1"/>
    <s v="Very good quality"/>
    <n v="5"/>
    <x v="1"/>
  </r>
  <r>
    <n v="28"/>
    <d v="2024-06-14T00:00:00"/>
    <x v="16"/>
    <s v="Watch"/>
    <x v="1"/>
    <s v="Excellent product"/>
    <n v="5"/>
    <x v="1"/>
  </r>
  <r>
    <n v="29"/>
    <d v="2025-05-15T00:00:00"/>
    <x v="17"/>
    <s v="Phone"/>
    <x v="2"/>
    <s v="Not bad"/>
    <n v="4"/>
    <x v="0"/>
  </r>
  <r>
    <n v="30"/>
    <d v="2024-02-29T00:00:00"/>
    <x v="2"/>
    <s v="Laptop"/>
    <x v="1"/>
    <s v="Bad quality"/>
    <n v="1"/>
    <x v="2"/>
  </r>
  <r>
    <n v="31"/>
    <d v="2024-03-11T00:00:00"/>
    <x v="6"/>
    <s v="Tablet"/>
    <x v="1"/>
    <s v="Very good quality"/>
    <n v="5"/>
    <x v="1"/>
  </r>
  <r>
    <n v="32"/>
    <d v="2025-07-16T00:00:00"/>
    <x v="3"/>
    <s v="Laptop"/>
    <x v="0"/>
    <s v="Amazing experience"/>
    <n v="5"/>
    <x v="1"/>
  </r>
  <r>
    <n v="33"/>
    <d v="2024-08-04T00:00:00"/>
    <x v="7"/>
    <s v="Watch"/>
    <x v="1"/>
    <s v="Average quality"/>
    <n v="4"/>
    <x v="0"/>
  </r>
  <r>
    <n v="34"/>
    <d v="2025-02-12T00:00:00"/>
    <x v="11"/>
    <s v="Backpack"/>
    <x v="1"/>
    <s v="Not bad"/>
    <n v="4"/>
    <x v="0"/>
  </r>
  <r>
    <n v="35"/>
    <d v="2024-05-03T00:00:00"/>
    <x v="18"/>
    <s v="Laptop"/>
    <x v="2"/>
    <s v="Bad quality"/>
    <n v="2"/>
    <x v="2"/>
  </r>
  <r>
    <n v="36"/>
    <d v="2025-08-25T00:00:00"/>
    <x v="13"/>
    <s v="Watch"/>
    <x v="2"/>
    <s v="Waste of money"/>
    <n v="1"/>
    <x v="2"/>
  </r>
  <r>
    <n v="37"/>
    <d v="2024-03-13T00:00:00"/>
    <x v="6"/>
    <s v="Backpack"/>
    <x v="1"/>
    <s v="Excellent product"/>
    <n v="4"/>
    <x v="1"/>
  </r>
  <r>
    <n v="38"/>
    <d v="2024-02-02T00:00:00"/>
    <x v="2"/>
    <s v="Tablet"/>
    <x v="0"/>
    <s v="Excellent product"/>
    <n v="4"/>
    <x v="1"/>
  </r>
  <r>
    <n v="39"/>
    <d v="2024-10-12T00:00:00"/>
    <x v="10"/>
    <s v="Backpack"/>
    <x v="0"/>
    <s v="Average quality"/>
    <n v="3"/>
    <x v="0"/>
  </r>
  <r>
    <n v="40"/>
    <d v="2025-08-07T00:00:00"/>
    <x v="13"/>
    <s v="Watch"/>
    <x v="0"/>
    <s v="Average quality"/>
    <n v="3"/>
    <x v="0"/>
  </r>
  <r>
    <n v="41"/>
    <d v="2024-07-13T00:00:00"/>
    <x v="19"/>
    <s v="Phone"/>
    <x v="2"/>
    <s v="Poor performance"/>
    <n v="2"/>
    <x v="2"/>
  </r>
  <r>
    <n v="42"/>
    <d v="2025-02-24T00:00:00"/>
    <x v="11"/>
    <s v="Shoes"/>
    <x v="1"/>
    <s v="Bad quality"/>
    <n v="2"/>
    <x v="2"/>
  </r>
  <r>
    <n v="43"/>
    <d v="2024-03-03T00:00:00"/>
    <x v="6"/>
    <s v="Shoes"/>
    <x v="1"/>
    <s v="Not bad"/>
    <n v="3"/>
    <x v="0"/>
  </r>
  <r>
    <n v="44"/>
    <d v="2024-07-15T00:00:00"/>
    <x v="19"/>
    <s v="Laptop"/>
    <x v="1"/>
    <s v="Worth the price"/>
    <n v="4"/>
    <x v="1"/>
  </r>
  <r>
    <n v="45"/>
    <d v="2024-07-06T00:00:00"/>
    <x v="19"/>
    <s v="Headphones"/>
    <x v="0"/>
    <s v="Very good quality"/>
    <n v="5"/>
    <x v="1"/>
  </r>
  <r>
    <n v="46"/>
    <d v="2025-07-17T00:00:00"/>
    <x v="3"/>
    <s v="Phone"/>
    <x v="2"/>
    <s v="Amazing experience"/>
    <n v="5"/>
    <x v="1"/>
  </r>
  <r>
    <n v="47"/>
    <d v="2024-08-30T00:00:00"/>
    <x v="7"/>
    <s v="Laptop"/>
    <x v="0"/>
    <s v="Worth the price"/>
    <n v="4"/>
    <x v="1"/>
  </r>
  <r>
    <n v="48"/>
    <d v="2025-02-14T00:00:00"/>
    <x v="11"/>
    <s v="Phone"/>
    <x v="2"/>
    <s v="Poor performance"/>
    <n v="1"/>
    <x v="2"/>
  </r>
  <r>
    <n v="49"/>
    <d v="2024-09-28T00:00:00"/>
    <x v="12"/>
    <s v="Tablet"/>
    <x v="0"/>
    <s v="Loved it"/>
    <n v="5"/>
    <x v="1"/>
  </r>
  <r>
    <n v="50"/>
    <d v="2024-06-07T00:00:00"/>
    <x v="16"/>
    <s v="Laptop"/>
    <x v="0"/>
    <s v="Not worth it"/>
    <n v="2"/>
    <x v="2"/>
  </r>
  <r>
    <n v="51"/>
    <d v="2024-11-17T00:00:00"/>
    <x v="20"/>
    <s v="Phone"/>
    <x v="2"/>
    <s v="Amazing experience"/>
    <n v="4"/>
    <x v="1"/>
  </r>
  <r>
    <n v="52"/>
    <d v="2024-02-28T00:00:00"/>
    <x v="2"/>
    <s v="Watch"/>
    <x v="2"/>
    <s v="Not worth it"/>
    <n v="1"/>
    <x v="2"/>
  </r>
  <r>
    <n v="53"/>
    <d v="2025-11-22T00:00:00"/>
    <x v="14"/>
    <s v="Tablet"/>
    <x v="2"/>
    <s v="Worth the price"/>
    <n v="4"/>
    <x v="1"/>
  </r>
  <r>
    <n v="54"/>
    <d v="2025-08-15T00:00:00"/>
    <x v="13"/>
    <s v="Watch"/>
    <x v="2"/>
    <s v="Amazing experience"/>
    <n v="4"/>
    <x v="1"/>
  </r>
  <r>
    <n v="55"/>
    <d v="2025-11-04T00:00:00"/>
    <x v="14"/>
    <s v="Watch"/>
    <x v="1"/>
    <s v="Amazing experience"/>
    <n v="5"/>
    <x v="1"/>
  </r>
  <r>
    <n v="56"/>
    <d v="2024-07-28T00:00:00"/>
    <x v="19"/>
    <s v="Backpack"/>
    <x v="1"/>
    <s v="Very disappointing"/>
    <n v="2"/>
    <x v="2"/>
  </r>
  <r>
    <n v="57"/>
    <d v="2025-02-09T00:00:00"/>
    <x v="11"/>
    <s v="Laptop"/>
    <x v="1"/>
    <s v="Loved it"/>
    <n v="5"/>
    <x v="1"/>
  </r>
  <r>
    <n v="58"/>
    <d v="2024-03-15T00:00:00"/>
    <x v="6"/>
    <s v="Phone"/>
    <x v="0"/>
    <s v="Waste of money"/>
    <n v="2"/>
    <x v="2"/>
  </r>
  <r>
    <n v="59"/>
    <d v="2024-03-16T00:00:00"/>
    <x v="6"/>
    <s v="Watch"/>
    <x v="2"/>
    <s v="Fine for use"/>
    <n v="3"/>
    <x v="0"/>
  </r>
  <r>
    <n v="60"/>
    <d v="2024-12-23T00:00:00"/>
    <x v="5"/>
    <s v="Phone"/>
    <x v="2"/>
    <s v="Very disappointing"/>
    <n v="1"/>
    <x v="2"/>
  </r>
  <r>
    <n v="61"/>
    <d v="2025-03-24T00:00:00"/>
    <x v="21"/>
    <s v="Tablet"/>
    <x v="1"/>
    <s v="Very disappointing"/>
    <n v="1"/>
    <x v="2"/>
  </r>
  <r>
    <n v="62"/>
    <d v="2025-11-14T00:00:00"/>
    <x v="14"/>
    <s v="Tablet"/>
    <x v="1"/>
    <s v="Not bad"/>
    <n v="3"/>
    <x v="0"/>
  </r>
  <r>
    <n v="63"/>
    <d v="2024-05-17T00:00:00"/>
    <x v="18"/>
    <s v="Headphones"/>
    <x v="2"/>
    <s v="Okay product"/>
    <n v="3"/>
    <x v="0"/>
  </r>
  <r>
    <n v="64"/>
    <d v="2024-10-05T00:00:00"/>
    <x v="10"/>
    <s v="Headphones"/>
    <x v="1"/>
    <s v="Average quality"/>
    <n v="3"/>
    <x v="0"/>
  </r>
  <r>
    <n v="65"/>
    <d v="2024-07-27T00:00:00"/>
    <x v="19"/>
    <s v="Backpack"/>
    <x v="1"/>
    <s v="Not bad"/>
    <n v="4"/>
    <x v="0"/>
  </r>
  <r>
    <n v="66"/>
    <d v="2024-09-14T00:00:00"/>
    <x v="12"/>
    <s v="Tablet"/>
    <x v="2"/>
    <s v="Okay product"/>
    <n v="4"/>
    <x v="0"/>
  </r>
  <r>
    <n v="67"/>
    <d v="2024-10-10T00:00:00"/>
    <x v="10"/>
    <s v="Phone"/>
    <x v="2"/>
    <s v="Not bad"/>
    <n v="4"/>
    <x v="0"/>
  </r>
  <r>
    <n v="68"/>
    <d v="2024-06-14T00:00:00"/>
    <x v="16"/>
    <s v="Backpack"/>
    <x v="0"/>
    <s v="Amazing experience"/>
    <n v="5"/>
    <x v="1"/>
  </r>
  <r>
    <n v="69"/>
    <d v="2025-07-28T00:00:00"/>
    <x v="3"/>
    <s v="Phone"/>
    <x v="2"/>
    <s v="Okay product"/>
    <n v="4"/>
    <x v="0"/>
  </r>
  <r>
    <n v="70"/>
    <d v="2025-07-12T00:00:00"/>
    <x v="3"/>
    <s v="Phone"/>
    <x v="0"/>
    <s v="Fine for use"/>
    <n v="3"/>
    <x v="0"/>
  </r>
  <r>
    <n v="71"/>
    <d v="2025-03-16T00:00:00"/>
    <x v="21"/>
    <s v="Laptop"/>
    <x v="2"/>
    <s v="Not bad"/>
    <n v="3"/>
    <x v="0"/>
  </r>
  <r>
    <n v="72"/>
    <d v="2025-01-01T00:00:00"/>
    <x v="22"/>
    <s v="Laptop"/>
    <x v="1"/>
    <s v="Not worth it"/>
    <n v="1"/>
    <x v="2"/>
  </r>
  <r>
    <n v="73"/>
    <d v="2024-12-28T00:00:00"/>
    <x v="5"/>
    <s v="Tablet"/>
    <x v="1"/>
    <s v="Decent"/>
    <n v="3"/>
    <x v="0"/>
  </r>
  <r>
    <n v="74"/>
    <d v="2024-08-30T00:00:00"/>
    <x v="7"/>
    <s v="Tablet"/>
    <x v="2"/>
    <s v="Average quality"/>
    <n v="3"/>
    <x v="0"/>
  </r>
  <r>
    <n v="75"/>
    <d v="2024-07-02T00:00:00"/>
    <x v="19"/>
    <s v="Backpack"/>
    <x v="0"/>
    <s v="Poor performance"/>
    <n v="1"/>
    <x v="2"/>
  </r>
  <r>
    <n v="76"/>
    <d v="2024-09-30T00:00:00"/>
    <x v="12"/>
    <s v="Laptop"/>
    <x v="1"/>
    <s v="Okay product"/>
    <n v="3"/>
    <x v="0"/>
  </r>
  <r>
    <n v="77"/>
    <d v="2025-04-26T00:00:00"/>
    <x v="4"/>
    <s v="Laptop"/>
    <x v="2"/>
    <s v="Poor performance"/>
    <n v="1"/>
    <x v="2"/>
  </r>
  <r>
    <n v="78"/>
    <d v="2024-08-21T00:00:00"/>
    <x v="7"/>
    <s v="Laptop"/>
    <x v="2"/>
    <s v="Not worth it"/>
    <n v="2"/>
    <x v="2"/>
  </r>
  <r>
    <n v="79"/>
    <d v="2024-10-12T00:00:00"/>
    <x v="10"/>
    <s v="Tablet"/>
    <x v="2"/>
    <s v="Very disappointing"/>
    <n v="2"/>
    <x v="2"/>
  </r>
  <r>
    <n v="80"/>
    <d v="2025-11-26T00:00:00"/>
    <x v="14"/>
    <s v="Tablet"/>
    <x v="1"/>
    <s v="Very disappointing"/>
    <n v="2"/>
    <x v="2"/>
  </r>
  <r>
    <n v="81"/>
    <d v="2024-09-24T00:00:00"/>
    <x v="12"/>
    <s v="Laptop"/>
    <x v="1"/>
    <s v="Loved it"/>
    <n v="4"/>
    <x v="1"/>
  </r>
  <r>
    <n v="82"/>
    <d v="2025-09-02T00:00:00"/>
    <x v="15"/>
    <s v="Shoes"/>
    <x v="0"/>
    <s v="Loved it"/>
    <n v="4"/>
    <x v="1"/>
  </r>
  <r>
    <n v="83"/>
    <d v="2025-01-29T00:00:00"/>
    <x v="22"/>
    <s v="Watch"/>
    <x v="2"/>
    <s v="Very disappointing"/>
    <n v="1"/>
    <x v="2"/>
  </r>
  <r>
    <n v="84"/>
    <d v="2024-01-02T00:00:00"/>
    <x v="0"/>
    <s v="Watch"/>
    <x v="1"/>
    <s v="Very good quality"/>
    <n v="5"/>
    <x v="1"/>
  </r>
  <r>
    <n v="85"/>
    <d v="2024-03-12T00:00:00"/>
    <x v="6"/>
    <s v="Backpack"/>
    <x v="0"/>
    <s v="Waste of money"/>
    <n v="2"/>
    <x v="2"/>
  </r>
  <r>
    <n v="86"/>
    <d v="2024-11-03T00:00:00"/>
    <x v="20"/>
    <s v="Watch"/>
    <x v="0"/>
    <s v="Poor performance"/>
    <n v="1"/>
    <x v="2"/>
  </r>
  <r>
    <n v="87"/>
    <d v="2024-10-29T00:00:00"/>
    <x v="10"/>
    <s v="Watch"/>
    <x v="2"/>
    <s v="Not worth it"/>
    <n v="2"/>
    <x v="2"/>
  </r>
  <r>
    <n v="88"/>
    <d v="2025-11-24T00:00:00"/>
    <x v="14"/>
    <s v="Backpack"/>
    <x v="2"/>
    <s v="Waste of money"/>
    <n v="2"/>
    <x v="2"/>
  </r>
  <r>
    <n v="89"/>
    <d v="2025-02-19T00:00:00"/>
    <x v="11"/>
    <s v="Watch"/>
    <x v="2"/>
    <s v="Not bad"/>
    <n v="4"/>
    <x v="0"/>
  </r>
  <r>
    <n v="90"/>
    <d v="2025-03-16T00:00:00"/>
    <x v="21"/>
    <s v="Tablet"/>
    <x v="1"/>
    <s v="Waste of money"/>
    <n v="1"/>
    <x v="2"/>
  </r>
  <r>
    <n v="91"/>
    <d v="2025-04-21T00:00:00"/>
    <x v="4"/>
    <s v="Shoes"/>
    <x v="0"/>
    <s v="Average quality"/>
    <n v="4"/>
    <x v="0"/>
  </r>
  <r>
    <n v="92"/>
    <d v="2024-06-22T00:00:00"/>
    <x v="16"/>
    <s v="Backpack"/>
    <x v="2"/>
    <s v="Not bad"/>
    <n v="4"/>
    <x v="0"/>
  </r>
  <r>
    <n v="93"/>
    <d v="2024-04-05T00:00:00"/>
    <x v="1"/>
    <s v="Tablet"/>
    <x v="2"/>
    <s v="Not bad"/>
    <n v="4"/>
    <x v="0"/>
  </r>
  <r>
    <n v="94"/>
    <d v="2024-05-30T00:00:00"/>
    <x v="18"/>
    <s v="Phone"/>
    <x v="2"/>
    <s v="Very good quality"/>
    <n v="4"/>
    <x v="1"/>
  </r>
  <r>
    <n v="95"/>
    <d v="2025-04-11T00:00:00"/>
    <x v="4"/>
    <s v="Shoes"/>
    <x v="1"/>
    <s v="Waste of money"/>
    <n v="1"/>
    <x v="2"/>
  </r>
  <r>
    <n v="96"/>
    <d v="2025-05-21T00:00:00"/>
    <x v="17"/>
    <s v="Shoes"/>
    <x v="2"/>
    <s v="Very good quality"/>
    <n v="5"/>
    <x v="1"/>
  </r>
  <r>
    <n v="97"/>
    <d v="2024-04-19T00:00:00"/>
    <x v="1"/>
    <s v="Tablet"/>
    <x v="0"/>
    <s v="Average quality"/>
    <n v="3"/>
    <x v="0"/>
  </r>
  <r>
    <n v="98"/>
    <d v="2024-02-21T00:00:00"/>
    <x v="2"/>
    <s v="Watch"/>
    <x v="2"/>
    <s v="Excellent product"/>
    <n v="5"/>
    <x v="1"/>
  </r>
  <r>
    <n v="99"/>
    <d v="2025-04-20T00:00:00"/>
    <x v="4"/>
    <s v="Backpack"/>
    <x v="1"/>
    <s v="Waste of money"/>
    <n v="1"/>
    <x v="2"/>
  </r>
  <r>
    <n v="100"/>
    <d v="2025-03-29T00:00:00"/>
    <x v="21"/>
    <s v="Watch"/>
    <x v="1"/>
    <s v="Fine for use"/>
    <n v="4"/>
    <x v="0"/>
  </r>
  <r>
    <n v="101"/>
    <d v="2024-06-11T00:00:00"/>
    <x v="16"/>
    <s v="Backpack"/>
    <x v="0"/>
    <s v="Poor performance"/>
    <n v="2"/>
    <x v="2"/>
  </r>
  <r>
    <n v="102"/>
    <d v="2025-10-14T00:00:00"/>
    <x v="8"/>
    <s v="Headphones"/>
    <x v="1"/>
    <s v="Poor performance"/>
    <n v="1"/>
    <x v="2"/>
  </r>
  <r>
    <n v="103"/>
    <d v="2024-10-08T00:00:00"/>
    <x v="10"/>
    <s v="Shoes"/>
    <x v="2"/>
    <s v="Not bad"/>
    <n v="3"/>
    <x v="0"/>
  </r>
  <r>
    <n v="104"/>
    <d v="2024-12-09T00:00:00"/>
    <x v="5"/>
    <s v="Headphones"/>
    <x v="1"/>
    <s v="Excellent product"/>
    <n v="5"/>
    <x v="1"/>
  </r>
  <r>
    <n v="105"/>
    <d v="2024-08-24T00:00:00"/>
    <x v="7"/>
    <s v="Shoes"/>
    <x v="1"/>
    <s v="Very good quality"/>
    <n v="4"/>
    <x v="1"/>
  </r>
  <r>
    <n v="106"/>
    <d v="2024-03-06T00:00:00"/>
    <x v="6"/>
    <s v="Shoes"/>
    <x v="0"/>
    <s v="Not bad"/>
    <n v="3"/>
    <x v="0"/>
  </r>
  <r>
    <n v="107"/>
    <d v="2025-03-01T00:00:00"/>
    <x v="21"/>
    <s v="Phone"/>
    <x v="2"/>
    <s v="Decent"/>
    <n v="4"/>
    <x v="0"/>
  </r>
  <r>
    <n v="108"/>
    <d v="2025-08-12T00:00:00"/>
    <x v="13"/>
    <s v="Shoes"/>
    <x v="0"/>
    <s v="Bad quality"/>
    <n v="1"/>
    <x v="2"/>
  </r>
  <r>
    <n v="109"/>
    <d v="2025-02-03T00:00:00"/>
    <x v="11"/>
    <s v="Tablet"/>
    <x v="0"/>
    <s v="Waste of money"/>
    <n v="2"/>
    <x v="2"/>
  </r>
  <r>
    <n v="110"/>
    <d v="2025-05-14T00:00:00"/>
    <x v="17"/>
    <s v="Laptop"/>
    <x v="0"/>
    <s v="Decent"/>
    <n v="3"/>
    <x v="0"/>
  </r>
  <r>
    <n v="111"/>
    <d v="2025-02-02T00:00:00"/>
    <x v="11"/>
    <s v="Headphones"/>
    <x v="1"/>
    <s v="Poor performance"/>
    <n v="1"/>
    <x v="2"/>
  </r>
  <r>
    <n v="112"/>
    <d v="2025-04-23T00:00:00"/>
    <x v="4"/>
    <s v="Laptop"/>
    <x v="1"/>
    <s v="Fine for use"/>
    <n v="3"/>
    <x v="0"/>
  </r>
  <r>
    <n v="113"/>
    <d v="2025-08-29T00:00:00"/>
    <x v="13"/>
    <s v="Watch"/>
    <x v="1"/>
    <s v="Excellent product"/>
    <n v="5"/>
    <x v="1"/>
  </r>
  <r>
    <n v="114"/>
    <d v="2024-05-18T00:00:00"/>
    <x v="18"/>
    <s v="Tablet"/>
    <x v="0"/>
    <s v="Very good quality"/>
    <n v="5"/>
    <x v="1"/>
  </r>
  <r>
    <n v="115"/>
    <d v="2025-01-23T00:00:00"/>
    <x v="22"/>
    <s v="Headphones"/>
    <x v="2"/>
    <s v="Worth the price"/>
    <n v="5"/>
    <x v="1"/>
  </r>
  <r>
    <n v="116"/>
    <d v="2025-01-23T00:00:00"/>
    <x v="22"/>
    <s v="Headphones"/>
    <x v="0"/>
    <s v="Very disappointing"/>
    <n v="2"/>
    <x v="2"/>
  </r>
  <r>
    <n v="117"/>
    <d v="2024-01-20T00:00:00"/>
    <x v="0"/>
    <s v="Backpack"/>
    <x v="1"/>
    <s v="Excellent product"/>
    <n v="5"/>
    <x v="1"/>
  </r>
  <r>
    <n v="118"/>
    <d v="2025-10-27T00:00:00"/>
    <x v="8"/>
    <s v="Phone"/>
    <x v="1"/>
    <s v="Bad quality"/>
    <n v="1"/>
    <x v="2"/>
  </r>
  <r>
    <n v="119"/>
    <d v="2024-07-23T00:00:00"/>
    <x v="19"/>
    <s v="Tablet"/>
    <x v="2"/>
    <s v="Amazing experience"/>
    <n v="4"/>
    <x v="1"/>
  </r>
  <r>
    <n v="120"/>
    <d v="2024-05-09T00:00:00"/>
    <x v="18"/>
    <s v="Shoes"/>
    <x v="1"/>
    <s v="Excellent product"/>
    <n v="4"/>
    <x v="1"/>
  </r>
  <r>
    <n v="121"/>
    <d v="2025-04-21T00:00:00"/>
    <x v="4"/>
    <s v="Backpack"/>
    <x v="0"/>
    <s v="Not bad"/>
    <n v="3"/>
    <x v="0"/>
  </r>
  <r>
    <n v="122"/>
    <d v="2024-06-16T00:00:00"/>
    <x v="16"/>
    <s v="Headphones"/>
    <x v="2"/>
    <s v="Amazing experience"/>
    <n v="4"/>
    <x v="1"/>
  </r>
  <r>
    <n v="123"/>
    <d v="2025-08-12T00:00:00"/>
    <x v="13"/>
    <s v="Backpack"/>
    <x v="0"/>
    <s v="Worth the price"/>
    <n v="5"/>
    <x v="1"/>
  </r>
  <r>
    <n v="124"/>
    <d v="2024-03-18T00:00:00"/>
    <x v="6"/>
    <s v="Watch"/>
    <x v="1"/>
    <s v="Average quality"/>
    <n v="3"/>
    <x v="0"/>
  </r>
  <r>
    <n v="125"/>
    <d v="2025-12-01T00:00:00"/>
    <x v="23"/>
    <s v="Watch"/>
    <x v="2"/>
    <s v="Amazing experience"/>
    <n v="5"/>
    <x v="1"/>
  </r>
  <r>
    <n v="126"/>
    <d v="2025-06-29T00:00:00"/>
    <x v="9"/>
    <s v="Shoes"/>
    <x v="1"/>
    <s v="Loved it"/>
    <n v="5"/>
    <x v="1"/>
  </r>
  <r>
    <n v="127"/>
    <d v="2024-01-13T00:00:00"/>
    <x v="0"/>
    <s v="Tablet"/>
    <x v="0"/>
    <s v="Worth the price"/>
    <n v="5"/>
    <x v="1"/>
  </r>
  <r>
    <n v="128"/>
    <d v="2025-01-05T00:00:00"/>
    <x v="22"/>
    <s v="Backpack"/>
    <x v="0"/>
    <s v="Very good quality"/>
    <n v="5"/>
    <x v="1"/>
  </r>
  <r>
    <n v="129"/>
    <d v="2025-06-18T00:00:00"/>
    <x v="9"/>
    <s v="Backpack"/>
    <x v="0"/>
    <s v="Waste of money"/>
    <n v="1"/>
    <x v="2"/>
  </r>
  <r>
    <n v="130"/>
    <d v="2025-04-21T00:00:00"/>
    <x v="4"/>
    <s v="Shoes"/>
    <x v="1"/>
    <s v="Fine for use"/>
    <n v="4"/>
    <x v="0"/>
  </r>
  <r>
    <n v="131"/>
    <d v="2024-09-08T00:00:00"/>
    <x v="12"/>
    <s v="Tablet"/>
    <x v="2"/>
    <s v="Very disappointing"/>
    <n v="2"/>
    <x v="2"/>
  </r>
  <r>
    <n v="132"/>
    <d v="2025-04-20T00:00:00"/>
    <x v="4"/>
    <s v="Watch"/>
    <x v="1"/>
    <s v="Poor performance"/>
    <n v="1"/>
    <x v="2"/>
  </r>
  <r>
    <n v="133"/>
    <d v="2025-05-21T00:00:00"/>
    <x v="17"/>
    <s v="Tablet"/>
    <x v="0"/>
    <s v="Not worth it"/>
    <n v="1"/>
    <x v="2"/>
  </r>
  <r>
    <n v="134"/>
    <d v="2024-12-29T00:00:00"/>
    <x v="5"/>
    <s v="Tablet"/>
    <x v="0"/>
    <s v="Very disappointing"/>
    <n v="1"/>
    <x v="2"/>
  </r>
  <r>
    <n v="135"/>
    <d v="2025-07-23T00:00:00"/>
    <x v="3"/>
    <s v="Phone"/>
    <x v="1"/>
    <s v="Not worth it"/>
    <n v="2"/>
    <x v="2"/>
  </r>
  <r>
    <n v="136"/>
    <d v="2025-02-20T00:00:00"/>
    <x v="11"/>
    <s v="Shoes"/>
    <x v="1"/>
    <s v="Very good quality"/>
    <n v="4"/>
    <x v="1"/>
  </r>
  <r>
    <n v="137"/>
    <d v="2025-10-23T00:00:00"/>
    <x v="8"/>
    <s v="Backpack"/>
    <x v="0"/>
    <s v="Decent"/>
    <n v="4"/>
    <x v="0"/>
  </r>
  <r>
    <n v="138"/>
    <d v="2024-10-28T00:00:00"/>
    <x v="10"/>
    <s v="Laptop"/>
    <x v="0"/>
    <s v="Very good quality"/>
    <n v="4"/>
    <x v="1"/>
  </r>
  <r>
    <n v="139"/>
    <d v="2025-04-29T00:00:00"/>
    <x v="4"/>
    <s v="Watch"/>
    <x v="1"/>
    <s v="Very disappointing"/>
    <n v="2"/>
    <x v="2"/>
  </r>
  <r>
    <n v="140"/>
    <d v="2024-12-26T00:00:00"/>
    <x v="5"/>
    <s v="Backpack"/>
    <x v="0"/>
    <s v="Very disappointing"/>
    <n v="2"/>
    <x v="2"/>
  </r>
  <r>
    <n v="141"/>
    <d v="2024-08-24T00:00:00"/>
    <x v="7"/>
    <s v="Phone"/>
    <x v="1"/>
    <s v="Not worth it"/>
    <n v="2"/>
    <x v="2"/>
  </r>
  <r>
    <n v="142"/>
    <d v="2025-07-02T00:00:00"/>
    <x v="3"/>
    <s v="Tablet"/>
    <x v="1"/>
    <s v="Not worth it"/>
    <n v="1"/>
    <x v="2"/>
  </r>
  <r>
    <n v="143"/>
    <d v="2025-05-10T00:00:00"/>
    <x v="17"/>
    <s v="Headphones"/>
    <x v="1"/>
    <s v="Amazing experience"/>
    <n v="4"/>
    <x v="1"/>
  </r>
  <r>
    <n v="144"/>
    <d v="2024-04-12T00:00:00"/>
    <x v="1"/>
    <s v="Tablet"/>
    <x v="2"/>
    <s v="Not bad"/>
    <n v="4"/>
    <x v="0"/>
  </r>
  <r>
    <n v="145"/>
    <d v="2024-07-02T00:00:00"/>
    <x v="19"/>
    <s v="Headphones"/>
    <x v="2"/>
    <s v="Amazing experience"/>
    <n v="5"/>
    <x v="1"/>
  </r>
  <r>
    <n v="146"/>
    <d v="2024-02-16T00:00:00"/>
    <x v="2"/>
    <s v="Phone"/>
    <x v="1"/>
    <s v="Loved it"/>
    <n v="5"/>
    <x v="1"/>
  </r>
  <r>
    <n v="147"/>
    <d v="2025-10-15T00:00:00"/>
    <x v="8"/>
    <s v="Tablet"/>
    <x v="0"/>
    <s v="Okay product"/>
    <n v="3"/>
    <x v="0"/>
  </r>
  <r>
    <n v="148"/>
    <d v="2025-04-25T00:00:00"/>
    <x v="4"/>
    <s v="Shoes"/>
    <x v="0"/>
    <s v="Loved it"/>
    <n v="5"/>
    <x v="1"/>
  </r>
  <r>
    <n v="149"/>
    <d v="2024-09-15T00:00:00"/>
    <x v="12"/>
    <s v="Tablet"/>
    <x v="0"/>
    <s v="Excellent product"/>
    <n v="4"/>
    <x v="1"/>
  </r>
  <r>
    <n v="150"/>
    <d v="2025-05-18T00:00:00"/>
    <x v="17"/>
    <s v="Phone"/>
    <x v="1"/>
    <s v="Excellent product"/>
    <n v="5"/>
    <x v="1"/>
  </r>
  <r>
    <n v="151"/>
    <d v="2025-07-30T00:00:00"/>
    <x v="3"/>
    <s v="Headphones"/>
    <x v="2"/>
    <s v="Very good quality"/>
    <n v="4"/>
    <x v="1"/>
  </r>
  <r>
    <n v="152"/>
    <d v="2025-09-12T00:00:00"/>
    <x v="15"/>
    <s v="Watch"/>
    <x v="1"/>
    <s v="Very good quality"/>
    <n v="5"/>
    <x v="1"/>
  </r>
  <r>
    <n v="153"/>
    <d v="2025-04-06T00:00:00"/>
    <x v="4"/>
    <s v="Shoes"/>
    <x v="0"/>
    <s v="Fine for use"/>
    <n v="4"/>
    <x v="0"/>
  </r>
  <r>
    <n v="154"/>
    <d v="2025-08-05T00:00:00"/>
    <x v="13"/>
    <s v="Watch"/>
    <x v="2"/>
    <s v="Waste of money"/>
    <n v="2"/>
    <x v="2"/>
  </r>
  <r>
    <n v="155"/>
    <d v="2024-07-31T00:00:00"/>
    <x v="19"/>
    <s v="Backpack"/>
    <x v="2"/>
    <s v="Not bad"/>
    <n v="3"/>
    <x v="0"/>
  </r>
  <r>
    <n v="156"/>
    <d v="2024-06-09T00:00:00"/>
    <x v="16"/>
    <s v="Laptop"/>
    <x v="2"/>
    <s v="Fine for use"/>
    <n v="3"/>
    <x v="0"/>
  </r>
  <r>
    <n v="157"/>
    <d v="2024-01-03T00:00:00"/>
    <x v="0"/>
    <s v="Shoes"/>
    <x v="0"/>
    <s v="Amazing experience"/>
    <n v="4"/>
    <x v="1"/>
  </r>
  <r>
    <n v="158"/>
    <d v="2024-02-03T00:00:00"/>
    <x v="2"/>
    <s v="Laptop"/>
    <x v="0"/>
    <s v="Very disappointing"/>
    <n v="2"/>
    <x v="2"/>
  </r>
  <r>
    <n v="159"/>
    <d v="2024-03-13T00:00:00"/>
    <x v="6"/>
    <s v="Backpack"/>
    <x v="2"/>
    <s v="Not bad"/>
    <n v="4"/>
    <x v="0"/>
  </r>
  <r>
    <n v="160"/>
    <d v="2025-03-11T00:00:00"/>
    <x v="21"/>
    <s v="Phone"/>
    <x v="1"/>
    <s v="Average quality"/>
    <n v="3"/>
    <x v="0"/>
  </r>
  <r>
    <n v="161"/>
    <d v="2024-09-29T00:00:00"/>
    <x v="12"/>
    <s v="Tablet"/>
    <x v="2"/>
    <s v="Okay product"/>
    <n v="3"/>
    <x v="0"/>
  </r>
  <r>
    <n v="162"/>
    <d v="2024-11-10T00:00:00"/>
    <x v="20"/>
    <s v="Watch"/>
    <x v="1"/>
    <s v="Amazing experience"/>
    <n v="4"/>
    <x v="1"/>
  </r>
  <r>
    <n v="163"/>
    <d v="2024-05-07T00:00:00"/>
    <x v="18"/>
    <s v="Shoes"/>
    <x v="1"/>
    <s v="Very disappointing"/>
    <n v="2"/>
    <x v="2"/>
  </r>
  <r>
    <n v="164"/>
    <d v="2024-10-05T00:00:00"/>
    <x v="10"/>
    <s v="Watch"/>
    <x v="1"/>
    <s v="Decent"/>
    <n v="4"/>
    <x v="0"/>
  </r>
  <r>
    <n v="165"/>
    <d v="2025-09-04T00:00:00"/>
    <x v="15"/>
    <s v="Phone"/>
    <x v="0"/>
    <s v="Very disappointing"/>
    <n v="1"/>
    <x v="2"/>
  </r>
  <r>
    <n v="166"/>
    <d v="2024-01-27T00:00:00"/>
    <x v="0"/>
    <s v="Phone"/>
    <x v="2"/>
    <s v="Fine for use"/>
    <n v="4"/>
    <x v="0"/>
  </r>
  <r>
    <n v="167"/>
    <d v="2025-11-19T00:00:00"/>
    <x v="14"/>
    <s v="Tablet"/>
    <x v="0"/>
    <s v="Fine for use"/>
    <n v="3"/>
    <x v="0"/>
  </r>
  <r>
    <n v="168"/>
    <d v="2025-04-26T00:00:00"/>
    <x v="4"/>
    <s v="Watch"/>
    <x v="1"/>
    <s v="Worth the price"/>
    <n v="4"/>
    <x v="1"/>
  </r>
  <r>
    <n v="169"/>
    <d v="2025-08-22T00:00:00"/>
    <x v="13"/>
    <s v="Shoes"/>
    <x v="1"/>
    <s v="Poor performance"/>
    <n v="1"/>
    <x v="2"/>
  </r>
  <r>
    <n v="170"/>
    <d v="2024-12-22T00:00:00"/>
    <x v="5"/>
    <s v="Shoes"/>
    <x v="0"/>
    <s v="Loved it"/>
    <n v="5"/>
    <x v="1"/>
  </r>
  <r>
    <n v="171"/>
    <d v="2024-06-13T00:00:00"/>
    <x v="16"/>
    <s v="Headphones"/>
    <x v="0"/>
    <s v="Decent"/>
    <n v="3"/>
    <x v="0"/>
  </r>
  <r>
    <n v="172"/>
    <d v="2025-07-17T00:00:00"/>
    <x v="3"/>
    <s v="Phone"/>
    <x v="0"/>
    <s v="Bad quality"/>
    <n v="2"/>
    <x v="2"/>
  </r>
  <r>
    <n v="173"/>
    <d v="2024-11-27T00:00:00"/>
    <x v="20"/>
    <s v="Phone"/>
    <x v="0"/>
    <s v="Waste of money"/>
    <n v="2"/>
    <x v="2"/>
  </r>
  <r>
    <n v="174"/>
    <d v="2025-02-27T00:00:00"/>
    <x v="11"/>
    <s v="Phone"/>
    <x v="2"/>
    <s v="Amazing experience"/>
    <n v="5"/>
    <x v="1"/>
  </r>
  <r>
    <n v="175"/>
    <d v="2025-10-02T00:00:00"/>
    <x v="8"/>
    <s v="Shoes"/>
    <x v="2"/>
    <s v="Not worth it"/>
    <n v="2"/>
    <x v="2"/>
  </r>
  <r>
    <n v="176"/>
    <d v="2024-10-21T00:00:00"/>
    <x v="10"/>
    <s v="Shoes"/>
    <x v="1"/>
    <s v="Poor performance"/>
    <n v="1"/>
    <x v="2"/>
  </r>
  <r>
    <n v="177"/>
    <d v="2025-10-07T00:00:00"/>
    <x v="8"/>
    <s v="Watch"/>
    <x v="2"/>
    <s v="Very good quality"/>
    <n v="4"/>
    <x v="1"/>
  </r>
  <r>
    <n v="178"/>
    <d v="2025-07-19T00:00:00"/>
    <x v="3"/>
    <s v="Shoes"/>
    <x v="2"/>
    <s v="Not worth it"/>
    <n v="1"/>
    <x v="2"/>
  </r>
  <r>
    <n v="179"/>
    <d v="2024-04-30T00:00:00"/>
    <x v="1"/>
    <s v="Backpack"/>
    <x v="2"/>
    <s v="Worth the price"/>
    <n v="5"/>
    <x v="1"/>
  </r>
  <r>
    <n v="180"/>
    <d v="2025-06-05T00:00:00"/>
    <x v="9"/>
    <s v="Backpack"/>
    <x v="0"/>
    <s v="Decent"/>
    <n v="4"/>
    <x v="0"/>
  </r>
  <r>
    <n v="181"/>
    <d v="2024-09-06T00:00:00"/>
    <x v="12"/>
    <s v="Shoes"/>
    <x v="1"/>
    <s v="Not worth it"/>
    <n v="2"/>
    <x v="2"/>
  </r>
  <r>
    <n v="182"/>
    <d v="2025-09-05T00:00:00"/>
    <x v="15"/>
    <s v="Watch"/>
    <x v="1"/>
    <s v="Not worth it"/>
    <n v="1"/>
    <x v="2"/>
  </r>
  <r>
    <n v="183"/>
    <d v="2025-02-28T00:00:00"/>
    <x v="11"/>
    <s v="Headphones"/>
    <x v="1"/>
    <s v="Loved it"/>
    <n v="5"/>
    <x v="1"/>
  </r>
  <r>
    <n v="184"/>
    <d v="2024-11-01T00:00:00"/>
    <x v="20"/>
    <s v="Tablet"/>
    <x v="1"/>
    <s v="Amazing experience"/>
    <n v="5"/>
    <x v="1"/>
  </r>
  <r>
    <n v="185"/>
    <d v="2024-06-01T00:00:00"/>
    <x v="16"/>
    <s v="Shoes"/>
    <x v="1"/>
    <s v="Decent"/>
    <n v="4"/>
    <x v="0"/>
  </r>
  <r>
    <n v="186"/>
    <d v="2025-07-19T00:00:00"/>
    <x v="3"/>
    <s v="Tablet"/>
    <x v="1"/>
    <s v="Poor performance"/>
    <n v="2"/>
    <x v="2"/>
  </r>
  <r>
    <n v="187"/>
    <d v="2024-07-12T00:00:00"/>
    <x v="19"/>
    <s v="Backpack"/>
    <x v="2"/>
    <s v="Waste of money"/>
    <n v="2"/>
    <x v="2"/>
  </r>
  <r>
    <n v="188"/>
    <d v="2025-02-24T00:00:00"/>
    <x v="11"/>
    <s v="Phone"/>
    <x v="0"/>
    <s v="Poor performance"/>
    <n v="1"/>
    <x v="2"/>
  </r>
  <r>
    <n v="189"/>
    <d v="2025-01-30T00:00:00"/>
    <x v="22"/>
    <s v="Backpack"/>
    <x v="1"/>
    <s v="Average quality"/>
    <n v="4"/>
    <x v="0"/>
  </r>
  <r>
    <n v="190"/>
    <d v="2024-05-09T00:00:00"/>
    <x v="18"/>
    <s v="Watch"/>
    <x v="1"/>
    <s v="Very disappointing"/>
    <n v="1"/>
    <x v="2"/>
  </r>
  <r>
    <n v="191"/>
    <d v="2024-04-12T00:00:00"/>
    <x v="1"/>
    <s v="Watch"/>
    <x v="0"/>
    <s v="Excellent product"/>
    <n v="5"/>
    <x v="1"/>
  </r>
  <r>
    <n v="192"/>
    <d v="2025-02-23T00:00:00"/>
    <x v="11"/>
    <s v="Tablet"/>
    <x v="1"/>
    <s v="Average quality"/>
    <n v="3"/>
    <x v="0"/>
  </r>
  <r>
    <n v="193"/>
    <d v="2024-09-28T00:00:00"/>
    <x v="12"/>
    <s v="Headphones"/>
    <x v="1"/>
    <s v="Worth the price"/>
    <n v="5"/>
    <x v="1"/>
  </r>
  <r>
    <n v="194"/>
    <d v="2024-12-02T00:00:00"/>
    <x v="5"/>
    <s v="Tablet"/>
    <x v="1"/>
    <s v="Fine for use"/>
    <n v="3"/>
    <x v="0"/>
  </r>
  <r>
    <n v="195"/>
    <d v="2025-10-03T00:00:00"/>
    <x v="8"/>
    <s v="Backpack"/>
    <x v="0"/>
    <s v="Waste of money"/>
    <n v="2"/>
    <x v="2"/>
  </r>
  <r>
    <n v="196"/>
    <d v="2024-08-28T00:00:00"/>
    <x v="7"/>
    <s v="Backpack"/>
    <x v="1"/>
    <s v="Loved it"/>
    <n v="4"/>
    <x v="1"/>
  </r>
  <r>
    <n v="197"/>
    <d v="2025-03-20T00:00:00"/>
    <x v="21"/>
    <s v="Phone"/>
    <x v="1"/>
    <s v="Excellent product"/>
    <n v="4"/>
    <x v="1"/>
  </r>
  <r>
    <n v="198"/>
    <d v="2024-11-02T00:00:00"/>
    <x v="20"/>
    <s v="Phone"/>
    <x v="2"/>
    <s v="Very disappointing"/>
    <n v="1"/>
    <x v="2"/>
  </r>
  <r>
    <n v="199"/>
    <d v="2025-01-02T00:00:00"/>
    <x v="22"/>
    <s v="Headphones"/>
    <x v="0"/>
    <s v="Very good quality"/>
    <n v="5"/>
    <x v="1"/>
  </r>
  <r>
    <n v="200"/>
    <d v="2025-08-02T00:00:00"/>
    <x v="13"/>
    <s v="Backpack"/>
    <x v="2"/>
    <s v="Very good quality"/>
    <n v="5"/>
    <x v="1"/>
  </r>
  <r>
    <n v="201"/>
    <d v="2025-09-16T00:00:00"/>
    <x v="15"/>
    <s v="Tablet"/>
    <x v="0"/>
    <s v="Amazing experience"/>
    <n v="4"/>
    <x v="1"/>
  </r>
  <r>
    <n v="202"/>
    <d v="2025-05-24T00:00:00"/>
    <x v="17"/>
    <s v="Watch"/>
    <x v="2"/>
    <s v="Average quality"/>
    <n v="3"/>
    <x v="0"/>
  </r>
  <r>
    <n v="203"/>
    <d v="2025-04-15T00:00:00"/>
    <x v="4"/>
    <s v="Headphones"/>
    <x v="1"/>
    <s v="Bad quality"/>
    <n v="2"/>
    <x v="2"/>
  </r>
  <r>
    <n v="204"/>
    <d v="2025-11-24T00:00:00"/>
    <x v="14"/>
    <s v="Watch"/>
    <x v="2"/>
    <s v="Bad quality"/>
    <n v="2"/>
    <x v="2"/>
  </r>
  <r>
    <n v="205"/>
    <d v="2025-08-24T00:00:00"/>
    <x v="13"/>
    <s v="Headphones"/>
    <x v="1"/>
    <s v="Poor performance"/>
    <n v="2"/>
    <x v="2"/>
  </r>
  <r>
    <n v="206"/>
    <d v="2025-04-12T00:00:00"/>
    <x v="4"/>
    <s v="Tablet"/>
    <x v="0"/>
    <s v="Average quality"/>
    <n v="4"/>
    <x v="0"/>
  </r>
  <r>
    <n v="207"/>
    <d v="2024-04-19T00:00:00"/>
    <x v="1"/>
    <s v="Laptop"/>
    <x v="0"/>
    <s v="Waste of money"/>
    <n v="2"/>
    <x v="2"/>
  </r>
  <r>
    <n v="208"/>
    <d v="2024-10-29T00:00:00"/>
    <x v="10"/>
    <s v="Phone"/>
    <x v="1"/>
    <s v="Poor performance"/>
    <n v="2"/>
    <x v="2"/>
  </r>
  <r>
    <n v="209"/>
    <d v="2025-08-02T00:00:00"/>
    <x v="13"/>
    <s v="Tablet"/>
    <x v="1"/>
    <s v="Bad quality"/>
    <n v="1"/>
    <x v="2"/>
  </r>
  <r>
    <n v="210"/>
    <d v="2024-10-20T00:00:00"/>
    <x v="10"/>
    <s v="Tablet"/>
    <x v="2"/>
    <s v="Fine for use"/>
    <n v="4"/>
    <x v="0"/>
  </r>
  <r>
    <n v="211"/>
    <d v="2025-10-13T00:00:00"/>
    <x v="8"/>
    <s v="Laptop"/>
    <x v="1"/>
    <s v="Very disappointing"/>
    <n v="1"/>
    <x v="2"/>
  </r>
  <r>
    <n v="212"/>
    <d v="2025-10-05T00:00:00"/>
    <x v="8"/>
    <s v="Phone"/>
    <x v="1"/>
    <s v="Okay product"/>
    <n v="3"/>
    <x v="0"/>
  </r>
  <r>
    <n v="213"/>
    <d v="2024-02-04T00:00:00"/>
    <x v="2"/>
    <s v="Watch"/>
    <x v="0"/>
    <s v="Not worth it"/>
    <n v="2"/>
    <x v="2"/>
  </r>
  <r>
    <n v="214"/>
    <d v="2024-11-30T00:00:00"/>
    <x v="20"/>
    <s v="Backpack"/>
    <x v="0"/>
    <s v="Very good quality"/>
    <n v="5"/>
    <x v="1"/>
  </r>
  <r>
    <n v="215"/>
    <d v="2025-07-06T00:00:00"/>
    <x v="3"/>
    <s v="Headphones"/>
    <x v="1"/>
    <s v="Amazing experience"/>
    <n v="4"/>
    <x v="1"/>
  </r>
  <r>
    <n v="216"/>
    <d v="2024-09-20T00:00:00"/>
    <x v="12"/>
    <s v="Tablet"/>
    <x v="0"/>
    <s v="Very disappointing"/>
    <n v="1"/>
    <x v="2"/>
  </r>
  <r>
    <n v="217"/>
    <d v="2024-04-27T00:00:00"/>
    <x v="1"/>
    <s v="Shoes"/>
    <x v="2"/>
    <s v="Average quality"/>
    <n v="4"/>
    <x v="0"/>
  </r>
  <r>
    <n v="218"/>
    <d v="2025-07-24T00:00:00"/>
    <x v="3"/>
    <s v="Headphones"/>
    <x v="2"/>
    <s v="Worth the price"/>
    <n v="5"/>
    <x v="1"/>
  </r>
  <r>
    <n v="219"/>
    <d v="2025-07-03T00:00:00"/>
    <x v="3"/>
    <s v="Phone"/>
    <x v="0"/>
    <s v="Loved it"/>
    <n v="5"/>
    <x v="1"/>
  </r>
  <r>
    <n v="220"/>
    <d v="2025-08-21T00:00:00"/>
    <x v="13"/>
    <s v="Shoes"/>
    <x v="1"/>
    <s v="Not bad"/>
    <n v="4"/>
    <x v="0"/>
  </r>
  <r>
    <n v="221"/>
    <d v="2025-04-27T00:00:00"/>
    <x v="4"/>
    <s v="Phone"/>
    <x v="1"/>
    <s v="Amazing experience"/>
    <n v="4"/>
    <x v="1"/>
  </r>
  <r>
    <n v="222"/>
    <d v="2025-10-25T00:00:00"/>
    <x v="8"/>
    <s v="Phone"/>
    <x v="1"/>
    <s v="Poor performance"/>
    <n v="1"/>
    <x v="2"/>
  </r>
  <r>
    <n v="223"/>
    <d v="2025-10-26T00:00:00"/>
    <x v="8"/>
    <s v="Shoes"/>
    <x v="2"/>
    <s v="Average quality"/>
    <n v="4"/>
    <x v="0"/>
  </r>
  <r>
    <n v="224"/>
    <d v="2024-11-07T00:00:00"/>
    <x v="20"/>
    <s v="Shoes"/>
    <x v="2"/>
    <s v="Excellent product"/>
    <n v="4"/>
    <x v="1"/>
  </r>
  <r>
    <n v="225"/>
    <d v="2025-02-01T00:00:00"/>
    <x v="11"/>
    <s v="Shoes"/>
    <x v="0"/>
    <s v="Amazing experience"/>
    <n v="4"/>
    <x v="1"/>
  </r>
  <r>
    <n v="226"/>
    <d v="2025-02-28T00:00:00"/>
    <x v="11"/>
    <s v="Backpack"/>
    <x v="2"/>
    <s v="Poor performance"/>
    <n v="1"/>
    <x v="2"/>
  </r>
  <r>
    <n v="227"/>
    <d v="2024-10-13T00:00:00"/>
    <x v="10"/>
    <s v="Phone"/>
    <x v="1"/>
    <s v="Not bad"/>
    <n v="4"/>
    <x v="0"/>
  </r>
  <r>
    <n v="228"/>
    <d v="2025-03-31T00:00:00"/>
    <x v="21"/>
    <s v="Laptop"/>
    <x v="0"/>
    <s v="Excellent product"/>
    <n v="5"/>
    <x v="1"/>
  </r>
  <r>
    <n v="229"/>
    <d v="2025-07-11T00:00:00"/>
    <x v="3"/>
    <s v="Backpack"/>
    <x v="0"/>
    <s v="Okay product"/>
    <n v="4"/>
    <x v="0"/>
  </r>
  <r>
    <n v="230"/>
    <d v="2024-07-13T00:00:00"/>
    <x v="19"/>
    <s v="Phone"/>
    <x v="0"/>
    <s v="Bad quality"/>
    <n v="2"/>
    <x v="2"/>
  </r>
  <r>
    <n v="231"/>
    <d v="2025-10-19T00:00:00"/>
    <x v="8"/>
    <s v="Backpack"/>
    <x v="1"/>
    <s v="Okay product"/>
    <n v="3"/>
    <x v="0"/>
  </r>
  <r>
    <n v="232"/>
    <d v="2024-09-06T00:00:00"/>
    <x v="12"/>
    <s v="Laptop"/>
    <x v="1"/>
    <s v="Very good quality"/>
    <n v="5"/>
    <x v="1"/>
  </r>
  <r>
    <n v="233"/>
    <d v="2025-08-23T00:00:00"/>
    <x v="13"/>
    <s v="Laptop"/>
    <x v="2"/>
    <s v="Loved it"/>
    <n v="4"/>
    <x v="1"/>
  </r>
  <r>
    <n v="234"/>
    <d v="2024-10-10T00:00:00"/>
    <x v="10"/>
    <s v="Tablet"/>
    <x v="2"/>
    <s v="Very good quality"/>
    <n v="4"/>
    <x v="1"/>
  </r>
  <r>
    <n v="235"/>
    <d v="2024-06-27T00:00:00"/>
    <x v="16"/>
    <s v="Phone"/>
    <x v="1"/>
    <s v="Okay product"/>
    <n v="4"/>
    <x v="0"/>
  </r>
  <r>
    <n v="236"/>
    <d v="2025-01-01T00:00:00"/>
    <x v="22"/>
    <s v="Tablet"/>
    <x v="2"/>
    <s v="Amazing experience"/>
    <n v="4"/>
    <x v="1"/>
  </r>
  <r>
    <n v="237"/>
    <d v="2024-06-27T00:00:00"/>
    <x v="16"/>
    <s v="Headphones"/>
    <x v="2"/>
    <s v="Not worth it"/>
    <n v="1"/>
    <x v="2"/>
  </r>
  <r>
    <n v="238"/>
    <d v="2025-06-22T00:00:00"/>
    <x v="9"/>
    <s v="Phone"/>
    <x v="1"/>
    <s v="Okay product"/>
    <n v="4"/>
    <x v="0"/>
  </r>
  <r>
    <n v="239"/>
    <d v="2025-01-05T00:00:00"/>
    <x v="22"/>
    <s v="Watch"/>
    <x v="1"/>
    <s v="Bad quality"/>
    <n v="2"/>
    <x v="2"/>
  </r>
  <r>
    <n v="240"/>
    <d v="2025-09-21T00:00:00"/>
    <x v="15"/>
    <s v="Phone"/>
    <x v="1"/>
    <s v="Waste of money"/>
    <n v="1"/>
    <x v="2"/>
  </r>
  <r>
    <n v="241"/>
    <d v="2025-10-20T00:00:00"/>
    <x v="8"/>
    <s v="Phone"/>
    <x v="2"/>
    <s v="Poor performance"/>
    <n v="2"/>
    <x v="2"/>
  </r>
  <r>
    <n v="242"/>
    <d v="2024-04-20T00:00:00"/>
    <x v="1"/>
    <s v="Shoes"/>
    <x v="1"/>
    <s v="Poor performance"/>
    <n v="2"/>
    <x v="2"/>
  </r>
  <r>
    <n v="243"/>
    <d v="2024-11-25T00:00:00"/>
    <x v="20"/>
    <s v="Watch"/>
    <x v="2"/>
    <s v="Excellent product"/>
    <n v="4"/>
    <x v="1"/>
  </r>
  <r>
    <n v="244"/>
    <d v="2025-10-01T00:00:00"/>
    <x v="8"/>
    <s v="Backpack"/>
    <x v="1"/>
    <s v="Amazing experience"/>
    <n v="5"/>
    <x v="1"/>
  </r>
  <r>
    <n v="245"/>
    <d v="2025-01-25T00:00:00"/>
    <x v="22"/>
    <s v="Watch"/>
    <x v="1"/>
    <s v="Not bad"/>
    <n v="4"/>
    <x v="0"/>
  </r>
  <r>
    <n v="246"/>
    <d v="2024-04-11T00:00:00"/>
    <x v="1"/>
    <s v="Tablet"/>
    <x v="1"/>
    <s v="Bad quality"/>
    <n v="2"/>
    <x v="2"/>
  </r>
  <r>
    <n v="247"/>
    <d v="2025-03-16T00:00:00"/>
    <x v="21"/>
    <s v="Shoes"/>
    <x v="2"/>
    <s v="Decent"/>
    <n v="3"/>
    <x v="0"/>
  </r>
  <r>
    <n v="248"/>
    <d v="2025-02-12T00:00:00"/>
    <x v="11"/>
    <s v="Shoes"/>
    <x v="1"/>
    <s v="Bad quality"/>
    <n v="2"/>
    <x v="2"/>
  </r>
  <r>
    <n v="249"/>
    <d v="2024-11-16T00:00:00"/>
    <x v="20"/>
    <s v="Backpack"/>
    <x v="0"/>
    <s v="Very disappointing"/>
    <n v="2"/>
    <x v="2"/>
  </r>
  <r>
    <n v="250"/>
    <d v="2024-03-09T00:00:00"/>
    <x v="6"/>
    <s v="Phone"/>
    <x v="2"/>
    <s v="Excellent product"/>
    <n v="5"/>
    <x v="1"/>
  </r>
  <r>
    <n v="251"/>
    <d v="2025-01-16T00:00:00"/>
    <x v="22"/>
    <s v="Tablet"/>
    <x v="2"/>
    <s v="Waste of money"/>
    <n v="1"/>
    <x v="2"/>
  </r>
  <r>
    <n v="252"/>
    <d v="2025-11-17T00:00:00"/>
    <x v="14"/>
    <s v="Phone"/>
    <x v="0"/>
    <s v="Loved it"/>
    <n v="5"/>
    <x v="1"/>
  </r>
  <r>
    <n v="253"/>
    <d v="2024-02-22T00:00:00"/>
    <x v="2"/>
    <s v="Headphones"/>
    <x v="1"/>
    <s v="Not bad"/>
    <n v="4"/>
    <x v="0"/>
  </r>
  <r>
    <n v="254"/>
    <d v="2025-08-14T00:00:00"/>
    <x v="13"/>
    <s v="Watch"/>
    <x v="2"/>
    <s v="Not worth it"/>
    <n v="1"/>
    <x v="2"/>
  </r>
  <r>
    <n v="255"/>
    <d v="2024-08-17T00:00:00"/>
    <x v="7"/>
    <s v="Tablet"/>
    <x v="2"/>
    <s v="Not bad"/>
    <n v="4"/>
    <x v="0"/>
  </r>
  <r>
    <n v="256"/>
    <d v="2024-04-27T00:00:00"/>
    <x v="1"/>
    <s v="Tablet"/>
    <x v="0"/>
    <s v="Fine for use"/>
    <n v="4"/>
    <x v="0"/>
  </r>
  <r>
    <n v="257"/>
    <d v="2025-07-28T00:00:00"/>
    <x v="3"/>
    <s v="Tablet"/>
    <x v="1"/>
    <s v="Amazing experience"/>
    <n v="5"/>
    <x v="1"/>
  </r>
  <r>
    <n v="258"/>
    <d v="2025-09-15T00:00:00"/>
    <x v="15"/>
    <s v="Backpack"/>
    <x v="1"/>
    <s v="Not bad"/>
    <n v="3"/>
    <x v="0"/>
  </r>
  <r>
    <n v="259"/>
    <d v="2024-10-06T00:00:00"/>
    <x v="10"/>
    <s v="Backpack"/>
    <x v="0"/>
    <s v="Loved it"/>
    <n v="4"/>
    <x v="1"/>
  </r>
  <r>
    <n v="260"/>
    <d v="2024-07-04T00:00:00"/>
    <x v="19"/>
    <s v="Tablet"/>
    <x v="2"/>
    <s v="Waste of money"/>
    <n v="1"/>
    <x v="2"/>
  </r>
  <r>
    <n v="261"/>
    <d v="2024-03-12T00:00:00"/>
    <x v="6"/>
    <s v="Laptop"/>
    <x v="1"/>
    <s v="Okay product"/>
    <n v="4"/>
    <x v="0"/>
  </r>
  <r>
    <n v="262"/>
    <d v="2025-01-20T00:00:00"/>
    <x v="22"/>
    <s v="Shoes"/>
    <x v="0"/>
    <s v="Loved it"/>
    <n v="4"/>
    <x v="1"/>
  </r>
  <r>
    <n v="263"/>
    <d v="2024-11-15T00:00:00"/>
    <x v="20"/>
    <s v="Backpack"/>
    <x v="0"/>
    <s v="Amazing experience"/>
    <n v="5"/>
    <x v="1"/>
  </r>
  <r>
    <n v="264"/>
    <d v="2024-02-23T00:00:00"/>
    <x v="2"/>
    <s v="Laptop"/>
    <x v="2"/>
    <s v="Fine for use"/>
    <n v="3"/>
    <x v="0"/>
  </r>
  <r>
    <n v="265"/>
    <d v="2024-10-05T00:00:00"/>
    <x v="10"/>
    <s v="Shoes"/>
    <x v="1"/>
    <s v="Worth the price"/>
    <n v="4"/>
    <x v="1"/>
  </r>
  <r>
    <n v="266"/>
    <d v="2025-02-28T00:00:00"/>
    <x v="11"/>
    <s v="Headphones"/>
    <x v="2"/>
    <s v="Waste of money"/>
    <n v="2"/>
    <x v="2"/>
  </r>
  <r>
    <n v="267"/>
    <d v="2025-03-16T00:00:00"/>
    <x v="21"/>
    <s v="Phone"/>
    <x v="0"/>
    <s v="Amazing experience"/>
    <n v="5"/>
    <x v="1"/>
  </r>
  <r>
    <n v="268"/>
    <d v="2024-02-16T00:00:00"/>
    <x v="2"/>
    <s v="Laptop"/>
    <x v="0"/>
    <s v="Waste of money"/>
    <n v="2"/>
    <x v="2"/>
  </r>
  <r>
    <n v="269"/>
    <d v="2024-07-28T00:00:00"/>
    <x v="19"/>
    <s v="Headphones"/>
    <x v="2"/>
    <s v="Very good quality"/>
    <n v="4"/>
    <x v="1"/>
  </r>
  <r>
    <n v="270"/>
    <d v="2024-12-01T00:00:00"/>
    <x v="5"/>
    <s v="Phone"/>
    <x v="2"/>
    <s v="Poor performance"/>
    <n v="2"/>
    <x v="2"/>
  </r>
  <r>
    <n v="271"/>
    <d v="2024-06-28T00:00:00"/>
    <x v="16"/>
    <s v="Laptop"/>
    <x v="0"/>
    <s v="Fine for use"/>
    <n v="4"/>
    <x v="0"/>
  </r>
  <r>
    <n v="272"/>
    <d v="2025-05-27T00:00:00"/>
    <x v="17"/>
    <s v="Watch"/>
    <x v="1"/>
    <s v="Not bad"/>
    <n v="3"/>
    <x v="0"/>
  </r>
  <r>
    <n v="273"/>
    <d v="2024-02-13T00:00:00"/>
    <x v="2"/>
    <s v="Shoes"/>
    <x v="2"/>
    <s v="Worth the price"/>
    <n v="5"/>
    <x v="1"/>
  </r>
  <r>
    <n v="274"/>
    <d v="2025-08-12T00:00:00"/>
    <x v="13"/>
    <s v="Shoes"/>
    <x v="1"/>
    <s v="Worth the price"/>
    <n v="5"/>
    <x v="1"/>
  </r>
  <r>
    <n v="275"/>
    <d v="2024-10-23T00:00:00"/>
    <x v="10"/>
    <s v="Phone"/>
    <x v="0"/>
    <s v="Okay product"/>
    <n v="4"/>
    <x v="0"/>
  </r>
  <r>
    <n v="276"/>
    <d v="2025-09-24T00:00:00"/>
    <x v="15"/>
    <s v="Shoes"/>
    <x v="1"/>
    <s v="Very disappointing"/>
    <n v="1"/>
    <x v="2"/>
  </r>
  <r>
    <n v="277"/>
    <d v="2024-04-18T00:00:00"/>
    <x v="1"/>
    <s v="Laptop"/>
    <x v="0"/>
    <s v="Amazing experience"/>
    <n v="5"/>
    <x v="1"/>
  </r>
  <r>
    <n v="278"/>
    <d v="2025-02-09T00:00:00"/>
    <x v="11"/>
    <s v="Tablet"/>
    <x v="0"/>
    <s v="Very disappointing"/>
    <n v="1"/>
    <x v="2"/>
  </r>
  <r>
    <n v="279"/>
    <d v="2024-06-21T00:00:00"/>
    <x v="16"/>
    <s v="Phone"/>
    <x v="1"/>
    <s v="Excellent product"/>
    <n v="5"/>
    <x v="1"/>
  </r>
  <r>
    <n v="280"/>
    <d v="2024-12-23T00:00:00"/>
    <x v="5"/>
    <s v="Headphones"/>
    <x v="1"/>
    <s v="Average quality"/>
    <n v="3"/>
    <x v="0"/>
  </r>
  <r>
    <n v="281"/>
    <d v="2024-05-29T00:00:00"/>
    <x v="18"/>
    <s v="Headphones"/>
    <x v="2"/>
    <s v="Very good quality"/>
    <n v="4"/>
    <x v="1"/>
  </r>
  <r>
    <n v="282"/>
    <d v="2025-11-02T00:00:00"/>
    <x v="14"/>
    <s v="Phone"/>
    <x v="2"/>
    <s v="Decent"/>
    <n v="3"/>
    <x v="0"/>
  </r>
  <r>
    <n v="283"/>
    <d v="2025-11-28T00:00:00"/>
    <x v="14"/>
    <s v="Watch"/>
    <x v="1"/>
    <s v="Waste of money"/>
    <n v="2"/>
    <x v="2"/>
  </r>
  <r>
    <n v="284"/>
    <d v="2024-06-03T00:00:00"/>
    <x v="16"/>
    <s v="Shoes"/>
    <x v="2"/>
    <s v="Poor performance"/>
    <n v="2"/>
    <x v="2"/>
  </r>
  <r>
    <n v="285"/>
    <d v="2024-10-08T00:00:00"/>
    <x v="10"/>
    <s v="Watch"/>
    <x v="2"/>
    <s v="Very disappointing"/>
    <n v="2"/>
    <x v="2"/>
  </r>
  <r>
    <n v="286"/>
    <d v="2024-11-13T00:00:00"/>
    <x v="20"/>
    <s v="Shoes"/>
    <x v="0"/>
    <s v="Okay product"/>
    <n v="3"/>
    <x v="0"/>
  </r>
  <r>
    <n v="287"/>
    <d v="2024-10-20T00:00:00"/>
    <x v="10"/>
    <s v="Phone"/>
    <x v="1"/>
    <s v="Excellent product"/>
    <n v="5"/>
    <x v="1"/>
  </r>
  <r>
    <n v="288"/>
    <d v="2025-04-18T00:00:00"/>
    <x v="4"/>
    <s v="Watch"/>
    <x v="1"/>
    <s v="Okay product"/>
    <n v="4"/>
    <x v="0"/>
  </r>
  <r>
    <n v="289"/>
    <d v="2024-11-25T00:00:00"/>
    <x v="20"/>
    <s v="Watch"/>
    <x v="0"/>
    <s v="Waste of money"/>
    <n v="1"/>
    <x v="2"/>
  </r>
  <r>
    <n v="290"/>
    <d v="2025-04-06T00:00:00"/>
    <x v="4"/>
    <s v="Phone"/>
    <x v="0"/>
    <s v="Excellent product"/>
    <n v="4"/>
    <x v="1"/>
  </r>
  <r>
    <n v="291"/>
    <d v="2024-02-10T00:00:00"/>
    <x v="2"/>
    <s v="Laptop"/>
    <x v="1"/>
    <s v="Decent"/>
    <n v="3"/>
    <x v="0"/>
  </r>
  <r>
    <n v="292"/>
    <d v="2025-01-07T00:00:00"/>
    <x v="22"/>
    <s v="Headphones"/>
    <x v="0"/>
    <s v="Poor performance"/>
    <n v="1"/>
    <x v="2"/>
  </r>
  <r>
    <n v="293"/>
    <d v="2025-11-26T00:00:00"/>
    <x v="14"/>
    <s v="Watch"/>
    <x v="2"/>
    <s v="Very disappointing"/>
    <n v="2"/>
    <x v="2"/>
  </r>
  <r>
    <n v="294"/>
    <d v="2024-04-06T00:00:00"/>
    <x v="1"/>
    <s v="Watch"/>
    <x v="1"/>
    <s v="Worth the price"/>
    <n v="5"/>
    <x v="1"/>
  </r>
  <r>
    <n v="295"/>
    <d v="2025-11-03T00:00:00"/>
    <x v="14"/>
    <s v="Watch"/>
    <x v="2"/>
    <s v="Very disappointing"/>
    <n v="2"/>
    <x v="2"/>
  </r>
  <r>
    <n v="296"/>
    <d v="2024-12-24T00:00:00"/>
    <x v="5"/>
    <s v="Headphones"/>
    <x v="1"/>
    <s v="Worth the price"/>
    <n v="4"/>
    <x v="1"/>
  </r>
  <r>
    <n v="297"/>
    <d v="2024-11-13T00:00:00"/>
    <x v="20"/>
    <s v="Watch"/>
    <x v="0"/>
    <s v="Loved it"/>
    <n v="4"/>
    <x v="1"/>
  </r>
  <r>
    <n v="298"/>
    <d v="2025-10-23T00:00:00"/>
    <x v="8"/>
    <s v="Backpack"/>
    <x v="0"/>
    <s v="Amazing experience"/>
    <n v="4"/>
    <x v="1"/>
  </r>
  <r>
    <n v="299"/>
    <d v="2025-01-06T00:00:00"/>
    <x v="22"/>
    <s v="Headphones"/>
    <x v="2"/>
    <s v="Not worth it"/>
    <n v="1"/>
    <x v="2"/>
  </r>
  <r>
    <n v="300"/>
    <d v="2024-07-15T00:00:00"/>
    <x v="19"/>
    <s v="Laptop"/>
    <x v="2"/>
    <s v="Not worth it"/>
    <n v="2"/>
    <x v="2"/>
  </r>
  <r>
    <n v="301"/>
    <d v="2024-04-13T00:00:00"/>
    <x v="1"/>
    <s v="Watch"/>
    <x v="1"/>
    <s v="Amazing experience"/>
    <n v="5"/>
    <x v="1"/>
  </r>
  <r>
    <n v="302"/>
    <d v="2025-09-24T00:00:00"/>
    <x v="15"/>
    <s v="Laptop"/>
    <x v="1"/>
    <s v="Worth the price"/>
    <n v="5"/>
    <x v="1"/>
  </r>
  <r>
    <n v="303"/>
    <d v="2024-07-04T00:00:00"/>
    <x v="19"/>
    <s v="Tablet"/>
    <x v="1"/>
    <s v="Amazing experience"/>
    <n v="4"/>
    <x v="1"/>
  </r>
  <r>
    <n v="304"/>
    <d v="2024-02-14T00:00:00"/>
    <x v="2"/>
    <s v="Shoes"/>
    <x v="0"/>
    <s v="Very good quality"/>
    <n v="5"/>
    <x v="1"/>
  </r>
  <r>
    <n v="305"/>
    <d v="2025-04-04T00:00:00"/>
    <x v="4"/>
    <s v="Laptop"/>
    <x v="1"/>
    <s v="Not worth it"/>
    <n v="2"/>
    <x v="2"/>
  </r>
  <r>
    <n v="306"/>
    <d v="2024-07-17T00:00:00"/>
    <x v="19"/>
    <s v="Headphones"/>
    <x v="1"/>
    <s v="Waste of money"/>
    <n v="2"/>
    <x v="2"/>
  </r>
  <r>
    <n v="307"/>
    <d v="2024-10-15T00:00:00"/>
    <x v="10"/>
    <s v="Tablet"/>
    <x v="0"/>
    <s v="Waste of money"/>
    <n v="2"/>
    <x v="2"/>
  </r>
  <r>
    <n v="308"/>
    <d v="2024-06-14T00:00:00"/>
    <x v="16"/>
    <s v="Tablet"/>
    <x v="2"/>
    <s v="Fine for use"/>
    <n v="4"/>
    <x v="0"/>
  </r>
  <r>
    <n v="309"/>
    <d v="2024-02-23T00:00:00"/>
    <x v="2"/>
    <s v="Backpack"/>
    <x v="0"/>
    <s v="Loved it"/>
    <n v="5"/>
    <x v="1"/>
  </r>
  <r>
    <n v="310"/>
    <d v="2025-06-12T00:00:00"/>
    <x v="9"/>
    <s v="Tablet"/>
    <x v="2"/>
    <s v="Not bad"/>
    <n v="3"/>
    <x v="0"/>
  </r>
  <r>
    <n v="311"/>
    <d v="2024-10-06T00:00:00"/>
    <x v="10"/>
    <s v="Shoes"/>
    <x v="1"/>
    <s v="Very good quality"/>
    <n v="4"/>
    <x v="1"/>
  </r>
  <r>
    <n v="312"/>
    <d v="2024-08-15T00:00:00"/>
    <x v="7"/>
    <s v="Tablet"/>
    <x v="0"/>
    <s v="Very disappointing"/>
    <n v="1"/>
    <x v="2"/>
  </r>
  <r>
    <n v="313"/>
    <d v="2024-02-24T00:00:00"/>
    <x v="2"/>
    <s v="Shoes"/>
    <x v="1"/>
    <s v="Loved it"/>
    <n v="5"/>
    <x v="1"/>
  </r>
  <r>
    <n v="314"/>
    <d v="2024-03-24T00:00:00"/>
    <x v="6"/>
    <s v="Headphones"/>
    <x v="2"/>
    <s v="Excellent product"/>
    <n v="5"/>
    <x v="1"/>
  </r>
  <r>
    <n v="315"/>
    <d v="2025-10-27T00:00:00"/>
    <x v="8"/>
    <s v="Headphones"/>
    <x v="2"/>
    <s v="Not worth it"/>
    <n v="1"/>
    <x v="2"/>
  </r>
  <r>
    <n v="316"/>
    <d v="2025-04-28T00:00:00"/>
    <x v="4"/>
    <s v="Backpack"/>
    <x v="2"/>
    <s v="Worth the price"/>
    <n v="5"/>
    <x v="1"/>
  </r>
  <r>
    <n v="317"/>
    <d v="2024-03-22T00:00:00"/>
    <x v="6"/>
    <s v="Phone"/>
    <x v="0"/>
    <s v="Not worth it"/>
    <n v="1"/>
    <x v="2"/>
  </r>
  <r>
    <n v="318"/>
    <d v="2024-04-23T00:00:00"/>
    <x v="1"/>
    <s v="Tablet"/>
    <x v="0"/>
    <s v="Very good quality"/>
    <n v="5"/>
    <x v="1"/>
  </r>
  <r>
    <n v="319"/>
    <d v="2024-02-18T00:00:00"/>
    <x v="2"/>
    <s v="Laptop"/>
    <x v="0"/>
    <s v="Waste of money"/>
    <n v="1"/>
    <x v="2"/>
  </r>
  <r>
    <n v="320"/>
    <d v="2024-04-23T00:00:00"/>
    <x v="1"/>
    <s v="Tablet"/>
    <x v="0"/>
    <s v="Waste of money"/>
    <n v="1"/>
    <x v="2"/>
  </r>
  <r>
    <n v="321"/>
    <d v="2025-10-09T00:00:00"/>
    <x v="8"/>
    <s v="Watch"/>
    <x v="1"/>
    <s v="Average quality"/>
    <n v="3"/>
    <x v="0"/>
  </r>
  <r>
    <n v="322"/>
    <d v="2024-10-25T00:00:00"/>
    <x v="10"/>
    <s v="Shoes"/>
    <x v="2"/>
    <s v="Fine for use"/>
    <n v="3"/>
    <x v="0"/>
  </r>
  <r>
    <n v="323"/>
    <d v="2025-08-07T00:00:00"/>
    <x v="13"/>
    <s v="Shoes"/>
    <x v="2"/>
    <s v="Bad quality"/>
    <n v="1"/>
    <x v="2"/>
  </r>
  <r>
    <n v="324"/>
    <d v="2024-03-10T00:00:00"/>
    <x v="6"/>
    <s v="Watch"/>
    <x v="1"/>
    <s v="Fine for use"/>
    <n v="4"/>
    <x v="0"/>
  </r>
  <r>
    <n v="325"/>
    <d v="2025-02-03T00:00:00"/>
    <x v="11"/>
    <s v="Tablet"/>
    <x v="0"/>
    <s v="Okay product"/>
    <n v="3"/>
    <x v="0"/>
  </r>
  <r>
    <n v="326"/>
    <d v="2025-01-17T00:00:00"/>
    <x v="22"/>
    <s v="Headphones"/>
    <x v="1"/>
    <s v="Okay product"/>
    <n v="4"/>
    <x v="0"/>
  </r>
  <r>
    <n v="327"/>
    <d v="2024-12-19T00:00:00"/>
    <x v="5"/>
    <s v="Laptop"/>
    <x v="1"/>
    <s v="Bad quality"/>
    <n v="1"/>
    <x v="2"/>
  </r>
  <r>
    <n v="328"/>
    <d v="2024-05-16T00:00:00"/>
    <x v="18"/>
    <s v="Phone"/>
    <x v="0"/>
    <s v="Fine for use"/>
    <n v="4"/>
    <x v="0"/>
  </r>
  <r>
    <n v="329"/>
    <d v="2025-04-20T00:00:00"/>
    <x v="4"/>
    <s v="Backpack"/>
    <x v="0"/>
    <s v="Not worth it"/>
    <n v="1"/>
    <x v="2"/>
  </r>
  <r>
    <n v="330"/>
    <d v="2025-04-13T00:00:00"/>
    <x v="4"/>
    <s v="Phone"/>
    <x v="0"/>
    <s v="Very good quality"/>
    <n v="4"/>
    <x v="1"/>
  </r>
  <r>
    <n v="331"/>
    <d v="2024-02-12T00:00:00"/>
    <x v="2"/>
    <s v="Headphones"/>
    <x v="0"/>
    <s v="Amazing experience"/>
    <n v="4"/>
    <x v="1"/>
  </r>
  <r>
    <n v="332"/>
    <d v="2024-09-16T00:00:00"/>
    <x v="12"/>
    <s v="Phone"/>
    <x v="1"/>
    <s v="Not worth it"/>
    <n v="2"/>
    <x v="2"/>
  </r>
  <r>
    <n v="333"/>
    <d v="2024-02-18T00:00:00"/>
    <x v="2"/>
    <s v="Tablet"/>
    <x v="1"/>
    <s v="Very disappointing"/>
    <n v="2"/>
    <x v="2"/>
  </r>
  <r>
    <n v="334"/>
    <d v="2025-01-11T00:00:00"/>
    <x v="22"/>
    <s v="Shoes"/>
    <x v="0"/>
    <s v="Poor performance"/>
    <n v="1"/>
    <x v="2"/>
  </r>
  <r>
    <n v="335"/>
    <d v="2024-07-10T00:00:00"/>
    <x v="19"/>
    <s v="Shoes"/>
    <x v="1"/>
    <s v="Poor performance"/>
    <n v="2"/>
    <x v="2"/>
  </r>
  <r>
    <n v="336"/>
    <d v="2024-03-25T00:00:00"/>
    <x v="6"/>
    <s v="Backpack"/>
    <x v="0"/>
    <s v="Bad quality"/>
    <n v="2"/>
    <x v="2"/>
  </r>
  <r>
    <n v="337"/>
    <d v="2025-07-12T00:00:00"/>
    <x v="3"/>
    <s v="Headphones"/>
    <x v="0"/>
    <s v="Bad quality"/>
    <n v="1"/>
    <x v="2"/>
  </r>
  <r>
    <n v="338"/>
    <d v="2025-11-07T00:00:00"/>
    <x v="14"/>
    <s v="Headphones"/>
    <x v="0"/>
    <s v="Worth the price"/>
    <n v="5"/>
    <x v="1"/>
  </r>
  <r>
    <n v="339"/>
    <d v="2024-06-19T00:00:00"/>
    <x v="16"/>
    <s v="Backpack"/>
    <x v="0"/>
    <s v="Not bad"/>
    <n v="4"/>
    <x v="0"/>
  </r>
  <r>
    <n v="340"/>
    <d v="2024-12-27T00:00:00"/>
    <x v="5"/>
    <s v="Watch"/>
    <x v="0"/>
    <s v="Very disappointing"/>
    <n v="1"/>
    <x v="2"/>
  </r>
  <r>
    <n v="341"/>
    <d v="2024-03-17T00:00:00"/>
    <x v="6"/>
    <s v="Backpack"/>
    <x v="1"/>
    <s v="Decent"/>
    <n v="3"/>
    <x v="0"/>
  </r>
  <r>
    <n v="342"/>
    <d v="2024-02-01T00:00:00"/>
    <x v="2"/>
    <s v="Laptop"/>
    <x v="1"/>
    <s v="Poor performance"/>
    <n v="1"/>
    <x v="2"/>
  </r>
  <r>
    <n v="343"/>
    <d v="2024-03-09T00:00:00"/>
    <x v="6"/>
    <s v="Laptop"/>
    <x v="1"/>
    <s v="Loved it"/>
    <n v="4"/>
    <x v="1"/>
  </r>
  <r>
    <n v="344"/>
    <d v="2025-08-03T00:00:00"/>
    <x v="13"/>
    <s v="Phone"/>
    <x v="1"/>
    <s v="Not worth it"/>
    <n v="2"/>
    <x v="2"/>
  </r>
  <r>
    <n v="345"/>
    <d v="2025-01-14T00:00:00"/>
    <x v="22"/>
    <s v="Headphones"/>
    <x v="0"/>
    <s v="Okay product"/>
    <n v="4"/>
    <x v="0"/>
  </r>
  <r>
    <n v="346"/>
    <d v="2025-06-26T00:00:00"/>
    <x v="9"/>
    <s v="Headphones"/>
    <x v="0"/>
    <s v="Not bad"/>
    <n v="3"/>
    <x v="0"/>
  </r>
  <r>
    <n v="347"/>
    <d v="2024-09-12T00:00:00"/>
    <x v="12"/>
    <s v="Phone"/>
    <x v="2"/>
    <s v="Average quality"/>
    <n v="4"/>
    <x v="0"/>
  </r>
  <r>
    <n v="348"/>
    <d v="2025-07-29T00:00:00"/>
    <x v="3"/>
    <s v="Phone"/>
    <x v="0"/>
    <s v="Very disappointing"/>
    <n v="2"/>
    <x v="2"/>
  </r>
  <r>
    <n v="349"/>
    <d v="2024-08-07T00:00:00"/>
    <x v="7"/>
    <s v="Watch"/>
    <x v="0"/>
    <s v="Decent"/>
    <n v="4"/>
    <x v="0"/>
  </r>
  <r>
    <n v="350"/>
    <d v="2024-05-18T00:00:00"/>
    <x v="18"/>
    <s v="Tablet"/>
    <x v="2"/>
    <s v="Worth the price"/>
    <n v="4"/>
    <x v="1"/>
  </r>
  <r>
    <n v="351"/>
    <d v="2024-03-30T00:00:00"/>
    <x v="6"/>
    <s v="Tablet"/>
    <x v="1"/>
    <s v="Loved it"/>
    <n v="5"/>
    <x v="1"/>
  </r>
  <r>
    <n v="352"/>
    <d v="2024-03-07T00:00:00"/>
    <x v="6"/>
    <s v="Watch"/>
    <x v="1"/>
    <s v="Not bad"/>
    <n v="4"/>
    <x v="0"/>
  </r>
  <r>
    <n v="353"/>
    <d v="2025-10-15T00:00:00"/>
    <x v="8"/>
    <s v="Laptop"/>
    <x v="0"/>
    <s v="Waste of money"/>
    <n v="1"/>
    <x v="2"/>
  </r>
  <r>
    <n v="354"/>
    <d v="2024-07-24T00:00:00"/>
    <x v="19"/>
    <s v="Tablet"/>
    <x v="2"/>
    <s v="Very good quality"/>
    <n v="4"/>
    <x v="1"/>
  </r>
  <r>
    <n v="355"/>
    <d v="2025-01-04T00:00:00"/>
    <x v="22"/>
    <s v="Watch"/>
    <x v="1"/>
    <s v="Very disappointing"/>
    <n v="1"/>
    <x v="2"/>
  </r>
  <r>
    <n v="356"/>
    <d v="2025-09-18T00:00:00"/>
    <x v="15"/>
    <s v="Phone"/>
    <x v="2"/>
    <s v="Very disappointing"/>
    <n v="1"/>
    <x v="2"/>
  </r>
  <r>
    <n v="357"/>
    <d v="2025-06-22T00:00:00"/>
    <x v="9"/>
    <s v="Shoes"/>
    <x v="0"/>
    <s v="Waste of money"/>
    <n v="2"/>
    <x v="2"/>
  </r>
  <r>
    <n v="358"/>
    <d v="2024-11-20T00:00:00"/>
    <x v="20"/>
    <s v="Backpack"/>
    <x v="2"/>
    <s v="Worth the price"/>
    <n v="4"/>
    <x v="1"/>
  </r>
  <r>
    <n v="359"/>
    <d v="2024-05-11T00:00:00"/>
    <x v="18"/>
    <s v="Tablet"/>
    <x v="1"/>
    <s v="Waste of money"/>
    <n v="2"/>
    <x v="2"/>
  </r>
  <r>
    <n v="360"/>
    <d v="2025-03-19T00:00:00"/>
    <x v="21"/>
    <s v="Watch"/>
    <x v="2"/>
    <s v="Excellent product"/>
    <n v="4"/>
    <x v="1"/>
  </r>
  <r>
    <n v="361"/>
    <d v="2024-11-07T00:00:00"/>
    <x v="20"/>
    <s v="Laptop"/>
    <x v="2"/>
    <s v="Not bad"/>
    <n v="3"/>
    <x v="0"/>
  </r>
  <r>
    <n v="362"/>
    <d v="2024-12-20T00:00:00"/>
    <x v="5"/>
    <s v="Watch"/>
    <x v="0"/>
    <s v="Okay product"/>
    <n v="3"/>
    <x v="0"/>
  </r>
  <r>
    <n v="363"/>
    <d v="2025-10-12T00:00:00"/>
    <x v="8"/>
    <s v="Watch"/>
    <x v="0"/>
    <s v="Not worth it"/>
    <n v="1"/>
    <x v="2"/>
  </r>
  <r>
    <n v="364"/>
    <d v="2025-09-21T00:00:00"/>
    <x v="15"/>
    <s v="Watch"/>
    <x v="2"/>
    <s v="Fine for use"/>
    <n v="4"/>
    <x v="0"/>
  </r>
  <r>
    <n v="365"/>
    <d v="2025-08-29T00:00:00"/>
    <x v="13"/>
    <s v="Watch"/>
    <x v="2"/>
    <s v="Average quality"/>
    <n v="3"/>
    <x v="0"/>
  </r>
  <r>
    <n v="366"/>
    <d v="2025-07-31T00:00:00"/>
    <x v="3"/>
    <s v="Phone"/>
    <x v="2"/>
    <s v="Okay product"/>
    <n v="4"/>
    <x v="0"/>
  </r>
  <r>
    <n v="367"/>
    <d v="2025-10-28T00:00:00"/>
    <x v="8"/>
    <s v="Laptop"/>
    <x v="1"/>
    <s v="Worth the price"/>
    <n v="5"/>
    <x v="1"/>
  </r>
  <r>
    <n v="368"/>
    <d v="2025-05-24T00:00:00"/>
    <x v="17"/>
    <s v="Backpack"/>
    <x v="1"/>
    <s v="Not bad"/>
    <n v="3"/>
    <x v="0"/>
  </r>
  <r>
    <n v="369"/>
    <d v="2025-05-09T00:00:00"/>
    <x v="17"/>
    <s v="Laptop"/>
    <x v="1"/>
    <s v="Decent"/>
    <n v="4"/>
    <x v="0"/>
  </r>
  <r>
    <n v="370"/>
    <d v="2024-03-15T00:00:00"/>
    <x v="6"/>
    <s v="Backpack"/>
    <x v="2"/>
    <s v="Not worth it"/>
    <n v="2"/>
    <x v="2"/>
  </r>
  <r>
    <n v="371"/>
    <d v="2025-05-10T00:00:00"/>
    <x v="17"/>
    <s v="Shoes"/>
    <x v="2"/>
    <s v="Very disappointing"/>
    <n v="2"/>
    <x v="2"/>
  </r>
  <r>
    <n v="372"/>
    <d v="2024-11-16T00:00:00"/>
    <x v="20"/>
    <s v="Tablet"/>
    <x v="1"/>
    <s v="Not bad"/>
    <n v="3"/>
    <x v="0"/>
  </r>
  <r>
    <n v="373"/>
    <d v="2025-02-12T00:00:00"/>
    <x v="11"/>
    <s v="Laptop"/>
    <x v="0"/>
    <s v="Fine for use"/>
    <n v="4"/>
    <x v="0"/>
  </r>
  <r>
    <n v="374"/>
    <d v="2024-11-22T00:00:00"/>
    <x v="20"/>
    <s v="Laptop"/>
    <x v="0"/>
    <s v="Okay product"/>
    <n v="3"/>
    <x v="0"/>
  </r>
  <r>
    <n v="375"/>
    <d v="2024-09-10T00:00:00"/>
    <x v="12"/>
    <s v="Laptop"/>
    <x v="2"/>
    <s v="Bad quality"/>
    <n v="2"/>
    <x v="2"/>
  </r>
  <r>
    <n v="376"/>
    <d v="2025-09-22T00:00:00"/>
    <x v="15"/>
    <s v="Shoes"/>
    <x v="2"/>
    <s v="Not worth it"/>
    <n v="2"/>
    <x v="2"/>
  </r>
  <r>
    <n v="377"/>
    <d v="2024-07-13T00:00:00"/>
    <x v="19"/>
    <s v="Tablet"/>
    <x v="2"/>
    <s v="Poor performance"/>
    <n v="2"/>
    <x v="2"/>
  </r>
  <r>
    <n v="378"/>
    <d v="2025-05-25T00:00:00"/>
    <x v="17"/>
    <s v="Headphones"/>
    <x v="0"/>
    <s v="Okay product"/>
    <n v="4"/>
    <x v="0"/>
  </r>
  <r>
    <n v="379"/>
    <d v="2025-06-01T00:00:00"/>
    <x v="9"/>
    <s v="Shoes"/>
    <x v="2"/>
    <s v="Very good quality"/>
    <n v="5"/>
    <x v="1"/>
  </r>
  <r>
    <n v="380"/>
    <d v="2024-02-19T00:00:00"/>
    <x v="2"/>
    <s v="Phone"/>
    <x v="0"/>
    <s v="Decent"/>
    <n v="4"/>
    <x v="0"/>
  </r>
  <r>
    <n v="381"/>
    <d v="2024-10-19T00:00:00"/>
    <x v="10"/>
    <s v="Watch"/>
    <x v="2"/>
    <s v="Okay product"/>
    <n v="4"/>
    <x v="0"/>
  </r>
  <r>
    <n v="382"/>
    <d v="2024-09-27T00:00:00"/>
    <x v="12"/>
    <s v="Backpack"/>
    <x v="0"/>
    <s v="Poor performance"/>
    <n v="1"/>
    <x v="2"/>
  </r>
  <r>
    <n v="383"/>
    <d v="2025-02-14T00:00:00"/>
    <x v="11"/>
    <s v="Phone"/>
    <x v="1"/>
    <s v="Waste of money"/>
    <n v="1"/>
    <x v="2"/>
  </r>
  <r>
    <n v="384"/>
    <d v="2025-07-20T00:00:00"/>
    <x v="3"/>
    <s v="Headphones"/>
    <x v="2"/>
    <s v="Worth the price"/>
    <n v="5"/>
    <x v="1"/>
  </r>
  <r>
    <n v="385"/>
    <d v="2025-07-17T00:00:00"/>
    <x v="3"/>
    <s v="Headphones"/>
    <x v="1"/>
    <s v="Fine for use"/>
    <n v="4"/>
    <x v="0"/>
  </r>
  <r>
    <n v="386"/>
    <d v="2024-04-09T00:00:00"/>
    <x v="1"/>
    <s v="Shoes"/>
    <x v="0"/>
    <s v="Loved it"/>
    <n v="4"/>
    <x v="1"/>
  </r>
  <r>
    <n v="387"/>
    <d v="2024-05-27T00:00:00"/>
    <x v="18"/>
    <s v="Laptop"/>
    <x v="1"/>
    <s v="Fine for use"/>
    <n v="4"/>
    <x v="0"/>
  </r>
  <r>
    <n v="388"/>
    <d v="2024-02-16T00:00:00"/>
    <x v="2"/>
    <s v="Phone"/>
    <x v="2"/>
    <s v="Very disappointing"/>
    <n v="1"/>
    <x v="2"/>
  </r>
  <r>
    <n v="389"/>
    <d v="2024-06-01T00:00:00"/>
    <x v="16"/>
    <s v="Watch"/>
    <x v="1"/>
    <s v="Not worth it"/>
    <n v="2"/>
    <x v="2"/>
  </r>
  <r>
    <n v="390"/>
    <d v="2024-06-15T00:00:00"/>
    <x v="16"/>
    <s v="Shoes"/>
    <x v="1"/>
    <s v="Very disappointing"/>
    <n v="2"/>
    <x v="2"/>
  </r>
  <r>
    <n v="391"/>
    <d v="2025-06-03T00:00:00"/>
    <x v="9"/>
    <s v="Tablet"/>
    <x v="1"/>
    <s v="Fine for use"/>
    <n v="4"/>
    <x v="0"/>
  </r>
  <r>
    <n v="392"/>
    <d v="2025-05-01T00:00:00"/>
    <x v="17"/>
    <s v="Tablet"/>
    <x v="2"/>
    <s v="Very disappointing"/>
    <n v="2"/>
    <x v="2"/>
  </r>
  <r>
    <n v="393"/>
    <d v="2025-03-02T00:00:00"/>
    <x v="21"/>
    <s v="Watch"/>
    <x v="0"/>
    <s v="Bad quality"/>
    <n v="1"/>
    <x v="2"/>
  </r>
  <r>
    <n v="394"/>
    <d v="2024-09-28T00:00:00"/>
    <x v="12"/>
    <s v="Backpack"/>
    <x v="1"/>
    <s v="Fine for use"/>
    <n v="4"/>
    <x v="0"/>
  </r>
  <r>
    <n v="395"/>
    <d v="2025-08-20T00:00:00"/>
    <x v="13"/>
    <s v="Shoes"/>
    <x v="2"/>
    <s v="Amazing experience"/>
    <n v="4"/>
    <x v="1"/>
  </r>
  <r>
    <n v="396"/>
    <d v="2024-05-31T00:00:00"/>
    <x v="18"/>
    <s v="Tablet"/>
    <x v="1"/>
    <s v="Average quality"/>
    <n v="4"/>
    <x v="0"/>
  </r>
  <r>
    <n v="397"/>
    <d v="2024-07-14T00:00:00"/>
    <x v="19"/>
    <s v="Phone"/>
    <x v="0"/>
    <s v="Loved it"/>
    <n v="4"/>
    <x v="1"/>
  </r>
  <r>
    <n v="398"/>
    <d v="2025-02-26T00:00:00"/>
    <x v="11"/>
    <s v="Backpack"/>
    <x v="2"/>
    <s v="Poor performance"/>
    <n v="1"/>
    <x v="2"/>
  </r>
  <r>
    <n v="399"/>
    <d v="2024-03-04T00:00:00"/>
    <x v="6"/>
    <s v="Backpack"/>
    <x v="2"/>
    <s v="Fine for use"/>
    <n v="4"/>
    <x v="0"/>
  </r>
  <r>
    <n v="400"/>
    <d v="2025-11-09T00:00:00"/>
    <x v="14"/>
    <s v="Shoes"/>
    <x v="1"/>
    <s v="Worth the price"/>
    <n v="5"/>
    <x v="1"/>
  </r>
  <r>
    <n v="401"/>
    <d v="2025-04-15T00:00:00"/>
    <x v="4"/>
    <s v="Watch"/>
    <x v="0"/>
    <s v="Waste of money"/>
    <n v="1"/>
    <x v="2"/>
  </r>
  <r>
    <n v="402"/>
    <d v="2025-09-16T00:00:00"/>
    <x v="15"/>
    <s v="Shoes"/>
    <x v="2"/>
    <s v="Not worth it"/>
    <n v="2"/>
    <x v="2"/>
  </r>
  <r>
    <n v="403"/>
    <d v="2024-08-18T00:00:00"/>
    <x v="7"/>
    <s v="Headphones"/>
    <x v="0"/>
    <s v="Not worth it"/>
    <n v="2"/>
    <x v="2"/>
  </r>
  <r>
    <n v="404"/>
    <d v="2024-11-20T00:00:00"/>
    <x v="20"/>
    <s v="Shoes"/>
    <x v="0"/>
    <s v="Fine for use"/>
    <n v="4"/>
    <x v="0"/>
  </r>
  <r>
    <n v="405"/>
    <d v="2024-10-21T00:00:00"/>
    <x v="10"/>
    <s v="Phone"/>
    <x v="1"/>
    <s v="Fine for use"/>
    <n v="4"/>
    <x v="0"/>
  </r>
  <r>
    <n v="406"/>
    <d v="2024-12-19T00:00:00"/>
    <x v="5"/>
    <s v="Tablet"/>
    <x v="2"/>
    <s v="Very disappointing"/>
    <n v="2"/>
    <x v="2"/>
  </r>
  <r>
    <n v="407"/>
    <d v="2024-03-21T00:00:00"/>
    <x v="6"/>
    <s v="Headphones"/>
    <x v="0"/>
    <s v="Loved it"/>
    <n v="5"/>
    <x v="1"/>
  </r>
  <r>
    <n v="408"/>
    <d v="2024-08-07T00:00:00"/>
    <x v="7"/>
    <s v="Laptop"/>
    <x v="1"/>
    <s v="Not bad"/>
    <n v="4"/>
    <x v="0"/>
  </r>
  <r>
    <n v="409"/>
    <d v="2024-05-20T00:00:00"/>
    <x v="18"/>
    <s v="Phone"/>
    <x v="1"/>
    <s v="Fine for use"/>
    <n v="4"/>
    <x v="0"/>
  </r>
  <r>
    <n v="410"/>
    <d v="2024-02-21T00:00:00"/>
    <x v="2"/>
    <s v="Backpack"/>
    <x v="1"/>
    <s v="Very good quality"/>
    <n v="4"/>
    <x v="1"/>
  </r>
  <r>
    <n v="411"/>
    <d v="2024-02-23T00:00:00"/>
    <x v="2"/>
    <s v="Phone"/>
    <x v="0"/>
    <s v="Not bad"/>
    <n v="3"/>
    <x v="0"/>
  </r>
  <r>
    <n v="412"/>
    <d v="2024-04-12T00:00:00"/>
    <x v="1"/>
    <s v="Backpack"/>
    <x v="2"/>
    <s v="Okay product"/>
    <n v="4"/>
    <x v="0"/>
  </r>
  <r>
    <n v="413"/>
    <d v="2025-02-20T00:00:00"/>
    <x v="11"/>
    <s v="Backpack"/>
    <x v="0"/>
    <s v="Decent"/>
    <n v="3"/>
    <x v="0"/>
  </r>
  <r>
    <n v="414"/>
    <d v="2024-10-21T00:00:00"/>
    <x v="10"/>
    <s v="Headphones"/>
    <x v="0"/>
    <s v="Okay product"/>
    <n v="3"/>
    <x v="0"/>
  </r>
  <r>
    <n v="415"/>
    <d v="2025-07-01T00:00:00"/>
    <x v="3"/>
    <s v="Backpack"/>
    <x v="1"/>
    <s v="Excellent product"/>
    <n v="4"/>
    <x v="1"/>
  </r>
  <r>
    <n v="416"/>
    <d v="2024-06-29T00:00:00"/>
    <x v="16"/>
    <s v="Phone"/>
    <x v="0"/>
    <s v="Worth the price"/>
    <n v="5"/>
    <x v="1"/>
  </r>
  <r>
    <n v="417"/>
    <d v="2024-02-08T00:00:00"/>
    <x v="2"/>
    <s v="Phone"/>
    <x v="0"/>
    <s v="Amazing experience"/>
    <n v="5"/>
    <x v="1"/>
  </r>
  <r>
    <n v="418"/>
    <d v="2024-12-09T00:00:00"/>
    <x v="5"/>
    <s v="Headphones"/>
    <x v="0"/>
    <s v="Fine for use"/>
    <n v="3"/>
    <x v="0"/>
  </r>
  <r>
    <n v="419"/>
    <d v="2024-05-17T00:00:00"/>
    <x v="18"/>
    <s v="Tablet"/>
    <x v="1"/>
    <s v="Decent"/>
    <n v="4"/>
    <x v="0"/>
  </r>
  <r>
    <n v="420"/>
    <d v="2024-04-25T00:00:00"/>
    <x v="1"/>
    <s v="Headphones"/>
    <x v="2"/>
    <s v="Poor performance"/>
    <n v="1"/>
    <x v="2"/>
  </r>
  <r>
    <n v="421"/>
    <d v="2024-07-09T00:00:00"/>
    <x v="19"/>
    <s v="Phone"/>
    <x v="1"/>
    <s v="Not bad"/>
    <n v="4"/>
    <x v="0"/>
  </r>
  <r>
    <n v="422"/>
    <d v="2024-06-28T00:00:00"/>
    <x v="16"/>
    <s v="Watch"/>
    <x v="1"/>
    <s v="Poor performance"/>
    <n v="1"/>
    <x v="2"/>
  </r>
  <r>
    <n v="423"/>
    <d v="2024-03-29T00:00:00"/>
    <x v="6"/>
    <s v="Shoes"/>
    <x v="1"/>
    <s v="Bad quality"/>
    <n v="2"/>
    <x v="2"/>
  </r>
  <r>
    <n v="424"/>
    <d v="2025-05-03T00:00:00"/>
    <x v="17"/>
    <s v="Headphones"/>
    <x v="2"/>
    <s v="Excellent product"/>
    <n v="4"/>
    <x v="1"/>
  </r>
  <r>
    <n v="425"/>
    <d v="2024-08-29T00:00:00"/>
    <x v="7"/>
    <s v="Shoes"/>
    <x v="0"/>
    <s v="Very disappointing"/>
    <n v="2"/>
    <x v="2"/>
  </r>
  <r>
    <n v="426"/>
    <d v="2024-09-24T00:00:00"/>
    <x v="12"/>
    <s v="Backpack"/>
    <x v="0"/>
    <s v="Not worth it"/>
    <n v="1"/>
    <x v="2"/>
  </r>
  <r>
    <n v="427"/>
    <d v="2025-04-21T00:00:00"/>
    <x v="4"/>
    <s v="Headphones"/>
    <x v="2"/>
    <s v="Worth the price"/>
    <n v="4"/>
    <x v="1"/>
  </r>
  <r>
    <n v="428"/>
    <d v="2024-04-30T00:00:00"/>
    <x v="1"/>
    <s v="Backpack"/>
    <x v="0"/>
    <s v="Not bad"/>
    <n v="4"/>
    <x v="0"/>
  </r>
  <r>
    <n v="429"/>
    <d v="2024-08-12T00:00:00"/>
    <x v="7"/>
    <s v="Laptop"/>
    <x v="0"/>
    <s v="Average quality"/>
    <n v="3"/>
    <x v="0"/>
  </r>
  <r>
    <n v="430"/>
    <d v="2025-03-01T00:00:00"/>
    <x v="21"/>
    <s v="Backpack"/>
    <x v="1"/>
    <s v="Poor performance"/>
    <n v="2"/>
    <x v="2"/>
  </r>
  <r>
    <n v="431"/>
    <d v="2024-09-10T00:00:00"/>
    <x v="12"/>
    <s v="Backpack"/>
    <x v="1"/>
    <s v="Okay product"/>
    <n v="3"/>
    <x v="0"/>
  </r>
  <r>
    <n v="432"/>
    <d v="2025-06-24T00:00:00"/>
    <x v="9"/>
    <s v="Backpack"/>
    <x v="0"/>
    <s v="Okay product"/>
    <n v="4"/>
    <x v="0"/>
  </r>
  <r>
    <n v="433"/>
    <d v="2024-03-04T00:00:00"/>
    <x v="6"/>
    <s v="Tablet"/>
    <x v="1"/>
    <s v="Fine for use"/>
    <n v="3"/>
    <x v="0"/>
  </r>
  <r>
    <n v="434"/>
    <d v="2024-06-17T00:00:00"/>
    <x v="16"/>
    <s v="Headphones"/>
    <x v="1"/>
    <s v="Worth the price"/>
    <n v="4"/>
    <x v="1"/>
  </r>
  <r>
    <n v="435"/>
    <d v="2025-08-20T00:00:00"/>
    <x v="13"/>
    <s v="Shoes"/>
    <x v="2"/>
    <s v="Amazing experience"/>
    <n v="4"/>
    <x v="1"/>
  </r>
  <r>
    <n v="436"/>
    <d v="2025-04-09T00:00:00"/>
    <x v="4"/>
    <s v="Laptop"/>
    <x v="1"/>
    <s v="Poor performance"/>
    <n v="1"/>
    <x v="2"/>
  </r>
  <r>
    <n v="437"/>
    <d v="2025-07-26T00:00:00"/>
    <x v="3"/>
    <s v="Shoes"/>
    <x v="1"/>
    <s v="Very disappointing"/>
    <n v="1"/>
    <x v="2"/>
  </r>
  <r>
    <n v="438"/>
    <d v="2025-02-09T00:00:00"/>
    <x v="11"/>
    <s v="Headphones"/>
    <x v="2"/>
    <s v="Average quality"/>
    <n v="3"/>
    <x v="0"/>
  </r>
  <r>
    <n v="439"/>
    <d v="2024-02-16T00:00:00"/>
    <x v="2"/>
    <s v="Shoes"/>
    <x v="0"/>
    <s v="Okay product"/>
    <n v="3"/>
    <x v="0"/>
  </r>
  <r>
    <n v="440"/>
    <d v="2024-03-11T00:00:00"/>
    <x v="6"/>
    <s v="Shoes"/>
    <x v="2"/>
    <s v="Not bad"/>
    <n v="3"/>
    <x v="0"/>
  </r>
  <r>
    <n v="441"/>
    <d v="2024-05-18T00:00:00"/>
    <x v="18"/>
    <s v="Tablet"/>
    <x v="1"/>
    <s v="Poor performance"/>
    <n v="1"/>
    <x v="2"/>
  </r>
  <r>
    <n v="442"/>
    <d v="2025-04-04T00:00:00"/>
    <x v="4"/>
    <s v="Tablet"/>
    <x v="0"/>
    <s v="Poor performance"/>
    <n v="2"/>
    <x v="2"/>
  </r>
  <r>
    <n v="443"/>
    <d v="2025-10-31T00:00:00"/>
    <x v="8"/>
    <s v="Tablet"/>
    <x v="0"/>
    <s v="Excellent product"/>
    <n v="4"/>
    <x v="1"/>
  </r>
  <r>
    <n v="444"/>
    <d v="2025-06-25T00:00:00"/>
    <x v="9"/>
    <s v="Laptop"/>
    <x v="1"/>
    <s v="Very good quality"/>
    <n v="5"/>
    <x v="1"/>
  </r>
  <r>
    <n v="445"/>
    <d v="2024-11-01T00:00:00"/>
    <x v="20"/>
    <s v="Shoes"/>
    <x v="1"/>
    <s v="Amazing experience"/>
    <n v="4"/>
    <x v="1"/>
  </r>
  <r>
    <n v="446"/>
    <d v="2024-08-23T00:00:00"/>
    <x v="7"/>
    <s v="Laptop"/>
    <x v="0"/>
    <s v="Very disappointing"/>
    <n v="2"/>
    <x v="2"/>
  </r>
  <r>
    <n v="447"/>
    <d v="2024-07-12T00:00:00"/>
    <x v="19"/>
    <s v="Backpack"/>
    <x v="2"/>
    <s v="Excellent product"/>
    <n v="5"/>
    <x v="1"/>
  </r>
  <r>
    <n v="448"/>
    <d v="2025-09-21T00:00:00"/>
    <x v="15"/>
    <s v="Tablet"/>
    <x v="2"/>
    <s v="Average quality"/>
    <n v="4"/>
    <x v="0"/>
  </r>
  <r>
    <n v="449"/>
    <d v="2024-04-13T00:00:00"/>
    <x v="1"/>
    <s v="Watch"/>
    <x v="2"/>
    <s v="Worth the price"/>
    <n v="4"/>
    <x v="1"/>
  </r>
  <r>
    <n v="450"/>
    <d v="2024-09-07T00:00:00"/>
    <x v="12"/>
    <s v="Backpack"/>
    <x v="2"/>
    <s v="Decent"/>
    <n v="3"/>
    <x v="0"/>
  </r>
  <r>
    <n v="451"/>
    <d v="2025-07-06T00:00:00"/>
    <x v="3"/>
    <s v="Laptop"/>
    <x v="2"/>
    <s v="Not worth it"/>
    <n v="1"/>
    <x v="2"/>
  </r>
  <r>
    <n v="452"/>
    <d v="2024-08-27T00:00:00"/>
    <x v="7"/>
    <s v="Tablet"/>
    <x v="1"/>
    <s v="Fine for use"/>
    <n v="4"/>
    <x v="0"/>
  </r>
  <r>
    <n v="453"/>
    <d v="2024-08-30T00:00:00"/>
    <x v="7"/>
    <s v="Headphones"/>
    <x v="2"/>
    <s v="Waste of money"/>
    <n v="2"/>
    <x v="2"/>
  </r>
  <r>
    <n v="454"/>
    <d v="2024-11-03T00:00:00"/>
    <x v="20"/>
    <s v="Headphones"/>
    <x v="2"/>
    <s v="Amazing experience"/>
    <n v="5"/>
    <x v="1"/>
  </r>
  <r>
    <n v="455"/>
    <d v="2025-10-03T00:00:00"/>
    <x v="8"/>
    <s v="Backpack"/>
    <x v="0"/>
    <s v="Fine for use"/>
    <n v="3"/>
    <x v="0"/>
  </r>
  <r>
    <n v="456"/>
    <d v="2024-12-18T00:00:00"/>
    <x v="5"/>
    <s v="Backpack"/>
    <x v="1"/>
    <s v="Poor performance"/>
    <n v="1"/>
    <x v="2"/>
  </r>
  <r>
    <n v="457"/>
    <d v="2025-03-02T00:00:00"/>
    <x v="21"/>
    <s v="Shoes"/>
    <x v="2"/>
    <s v="Not bad"/>
    <n v="4"/>
    <x v="0"/>
  </r>
  <r>
    <n v="458"/>
    <d v="2025-07-04T00:00:00"/>
    <x v="3"/>
    <s v="Shoes"/>
    <x v="2"/>
    <s v="Not worth it"/>
    <n v="1"/>
    <x v="2"/>
  </r>
  <r>
    <n v="459"/>
    <d v="2025-04-19T00:00:00"/>
    <x v="4"/>
    <s v="Phone"/>
    <x v="1"/>
    <s v="Poor performance"/>
    <n v="1"/>
    <x v="2"/>
  </r>
  <r>
    <n v="460"/>
    <d v="2025-02-01T00:00:00"/>
    <x v="11"/>
    <s v="Laptop"/>
    <x v="0"/>
    <s v="Not worth it"/>
    <n v="1"/>
    <x v="2"/>
  </r>
  <r>
    <n v="461"/>
    <d v="2025-04-05T00:00:00"/>
    <x v="4"/>
    <s v="Tablet"/>
    <x v="0"/>
    <s v="Bad quality"/>
    <n v="1"/>
    <x v="2"/>
  </r>
  <r>
    <n v="462"/>
    <d v="2024-02-22T00:00:00"/>
    <x v="2"/>
    <s v="Headphones"/>
    <x v="0"/>
    <s v="Fine for use"/>
    <n v="3"/>
    <x v="0"/>
  </r>
  <r>
    <n v="463"/>
    <d v="2024-03-15T00:00:00"/>
    <x v="6"/>
    <s v="Laptop"/>
    <x v="1"/>
    <s v="Fine for use"/>
    <n v="3"/>
    <x v="0"/>
  </r>
  <r>
    <n v="464"/>
    <d v="2024-08-01T00:00:00"/>
    <x v="7"/>
    <s v="Tablet"/>
    <x v="0"/>
    <s v="Loved it"/>
    <n v="5"/>
    <x v="1"/>
  </r>
  <r>
    <n v="465"/>
    <d v="2024-07-13T00:00:00"/>
    <x v="19"/>
    <s v="Backpack"/>
    <x v="2"/>
    <s v="Worth the price"/>
    <n v="4"/>
    <x v="1"/>
  </r>
  <r>
    <n v="466"/>
    <d v="2025-02-10T00:00:00"/>
    <x v="11"/>
    <s v="Laptop"/>
    <x v="1"/>
    <s v="Loved it"/>
    <n v="4"/>
    <x v="1"/>
  </r>
  <r>
    <n v="467"/>
    <d v="2025-04-22T00:00:00"/>
    <x v="4"/>
    <s v="Watch"/>
    <x v="1"/>
    <s v="Very disappointing"/>
    <n v="2"/>
    <x v="2"/>
  </r>
  <r>
    <n v="468"/>
    <d v="2025-01-03T00:00:00"/>
    <x v="22"/>
    <s v="Watch"/>
    <x v="0"/>
    <s v="Poor performance"/>
    <n v="2"/>
    <x v="2"/>
  </r>
  <r>
    <n v="469"/>
    <d v="2024-11-23T00:00:00"/>
    <x v="20"/>
    <s v="Laptop"/>
    <x v="0"/>
    <s v="Loved it"/>
    <n v="5"/>
    <x v="1"/>
  </r>
  <r>
    <n v="470"/>
    <d v="2025-07-30T00:00:00"/>
    <x v="3"/>
    <s v="Tablet"/>
    <x v="2"/>
    <s v="Not worth it"/>
    <n v="1"/>
    <x v="2"/>
  </r>
  <r>
    <n v="471"/>
    <d v="2025-07-20T00:00:00"/>
    <x v="3"/>
    <s v="Watch"/>
    <x v="1"/>
    <s v="Worth the price"/>
    <n v="5"/>
    <x v="1"/>
  </r>
  <r>
    <n v="472"/>
    <d v="2024-07-19T00:00:00"/>
    <x v="19"/>
    <s v="Headphones"/>
    <x v="2"/>
    <s v="Poor performance"/>
    <n v="1"/>
    <x v="2"/>
  </r>
  <r>
    <n v="473"/>
    <d v="2025-05-26T00:00:00"/>
    <x v="17"/>
    <s v="Watch"/>
    <x v="1"/>
    <s v="Not bad"/>
    <n v="3"/>
    <x v="0"/>
  </r>
  <r>
    <n v="474"/>
    <d v="2025-10-19T00:00:00"/>
    <x v="8"/>
    <s v="Backpack"/>
    <x v="0"/>
    <s v="Poor performance"/>
    <n v="2"/>
    <x v="2"/>
  </r>
  <r>
    <n v="475"/>
    <d v="2024-06-22T00:00:00"/>
    <x v="16"/>
    <s v="Laptop"/>
    <x v="1"/>
    <s v="Amazing experience"/>
    <n v="5"/>
    <x v="1"/>
  </r>
  <r>
    <n v="476"/>
    <d v="2025-07-09T00:00:00"/>
    <x v="3"/>
    <s v="Backpack"/>
    <x v="2"/>
    <s v="Waste of money"/>
    <n v="1"/>
    <x v="2"/>
  </r>
  <r>
    <n v="477"/>
    <d v="2025-11-15T00:00:00"/>
    <x v="14"/>
    <s v="Phone"/>
    <x v="2"/>
    <s v="Worth the price"/>
    <n v="4"/>
    <x v="1"/>
  </r>
  <r>
    <n v="478"/>
    <d v="2024-03-10T00:00:00"/>
    <x v="6"/>
    <s v="Backpack"/>
    <x v="2"/>
    <s v="Excellent product"/>
    <n v="4"/>
    <x v="1"/>
  </r>
  <r>
    <n v="479"/>
    <d v="2025-01-17T00:00:00"/>
    <x v="22"/>
    <s v="Phone"/>
    <x v="1"/>
    <s v="Amazing experience"/>
    <n v="5"/>
    <x v="1"/>
  </r>
  <r>
    <n v="480"/>
    <d v="2024-01-17T00:00:00"/>
    <x v="0"/>
    <s v="Phone"/>
    <x v="1"/>
    <s v="Waste of money"/>
    <n v="2"/>
    <x v="2"/>
  </r>
  <r>
    <n v="481"/>
    <d v="2024-01-18T00:00:00"/>
    <x v="0"/>
    <s v="Watch"/>
    <x v="1"/>
    <s v="Very disappointing"/>
    <n v="1"/>
    <x v="2"/>
  </r>
  <r>
    <n v="482"/>
    <d v="2024-01-18T00:00:00"/>
    <x v="0"/>
    <s v="Watch"/>
    <x v="1"/>
    <s v="Decent"/>
    <n v="4"/>
    <x v="0"/>
  </r>
  <r>
    <n v="483"/>
    <d v="2024-04-08T00:00:00"/>
    <x v="1"/>
    <s v="Watch"/>
    <x v="2"/>
    <s v="Very good quality"/>
    <n v="4"/>
    <x v="1"/>
  </r>
  <r>
    <n v="484"/>
    <d v="2024-12-28T00:00:00"/>
    <x v="5"/>
    <s v="Headphones"/>
    <x v="0"/>
    <s v="Excellent product"/>
    <n v="5"/>
    <x v="1"/>
  </r>
  <r>
    <n v="485"/>
    <d v="2025-04-15T00:00:00"/>
    <x v="4"/>
    <s v="Watch"/>
    <x v="2"/>
    <s v="Not worth it"/>
    <n v="2"/>
    <x v="2"/>
  </r>
  <r>
    <n v="486"/>
    <d v="2025-10-31T00:00:00"/>
    <x v="8"/>
    <s v="Tablet"/>
    <x v="1"/>
    <s v="Bad quality"/>
    <n v="1"/>
    <x v="2"/>
  </r>
  <r>
    <n v="487"/>
    <d v="2025-01-23T00:00:00"/>
    <x v="22"/>
    <s v="Shoes"/>
    <x v="1"/>
    <s v="Worth the price"/>
    <n v="5"/>
    <x v="1"/>
  </r>
  <r>
    <n v="488"/>
    <d v="2024-06-24T00:00:00"/>
    <x v="16"/>
    <s v="Phone"/>
    <x v="0"/>
    <s v="Worth the price"/>
    <n v="4"/>
    <x v="1"/>
  </r>
  <r>
    <n v="489"/>
    <d v="2025-08-02T00:00:00"/>
    <x v="13"/>
    <s v="Tablet"/>
    <x v="2"/>
    <s v="Fine for use"/>
    <n v="4"/>
    <x v="0"/>
  </r>
  <r>
    <n v="490"/>
    <d v="2024-08-04T00:00:00"/>
    <x v="7"/>
    <s v="Tablet"/>
    <x v="1"/>
    <s v="Amazing experience"/>
    <n v="4"/>
    <x v="1"/>
  </r>
  <r>
    <n v="491"/>
    <d v="2024-02-17T00:00:00"/>
    <x v="2"/>
    <s v="Phone"/>
    <x v="1"/>
    <s v="Very disappointing"/>
    <n v="2"/>
    <x v="2"/>
  </r>
  <r>
    <n v="492"/>
    <d v="2024-07-02T00:00:00"/>
    <x v="19"/>
    <s v="Tablet"/>
    <x v="0"/>
    <s v="Okay product"/>
    <n v="3"/>
    <x v="0"/>
  </r>
  <r>
    <n v="493"/>
    <d v="2025-02-11T00:00:00"/>
    <x v="11"/>
    <s v="Phone"/>
    <x v="0"/>
    <s v="Very good quality"/>
    <n v="4"/>
    <x v="1"/>
  </r>
  <r>
    <n v="494"/>
    <d v="2025-08-03T00:00:00"/>
    <x v="13"/>
    <s v="Tablet"/>
    <x v="0"/>
    <s v="Fine for use"/>
    <n v="3"/>
    <x v="0"/>
  </r>
  <r>
    <n v="495"/>
    <d v="2024-05-23T00:00:00"/>
    <x v="18"/>
    <s v="Tablet"/>
    <x v="1"/>
    <s v="Bad quality"/>
    <n v="2"/>
    <x v="2"/>
  </r>
  <r>
    <n v="496"/>
    <d v="2024-02-24T00:00:00"/>
    <x v="2"/>
    <s v="Phone"/>
    <x v="0"/>
    <s v="Average quality"/>
    <n v="4"/>
    <x v="0"/>
  </r>
  <r>
    <n v="497"/>
    <d v="2025-09-11T00:00:00"/>
    <x v="15"/>
    <s v="Tablet"/>
    <x v="1"/>
    <s v="Amazing experience"/>
    <n v="5"/>
    <x v="1"/>
  </r>
  <r>
    <n v="498"/>
    <d v="2024-01-31T00:00:00"/>
    <x v="0"/>
    <s v="Backpack"/>
    <x v="0"/>
    <s v="Poor performance"/>
    <n v="2"/>
    <x v="2"/>
  </r>
  <r>
    <n v="499"/>
    <d v="2024-12-30T00:00:00"/>
    <x v="5"/>
    <s v="Watch"/>
    <x v="0"/>
    <s v="Poor performance"/>
    <n v="1"/>
    <x v="2"/>
  </r>
  <r>
    <n v="500"/>
    <d v="2024-03-28T00:00:00"/>
    <x v="6"/>
    <s v="Tablet"/>
    <x v="1"/>
    <s v="Loved it"/>
    <n v="5"/>
    <x v="1"/>
  </r>
  <r>
    <n v="501"/>
    <d v="2024-03-25T00:00:00"/>
    <x v="6"/>
    <s v="Headphones"/>
    <x v="2"/>
    <s v="Worth the price"/>
    <n v="4"/>
    <x v="1"/>
  </r>
  <r>
    <n v="502"/>
    <d v="2025-02-02T00:00:00"/>
    <x v="11"/>
    <s v="Headphones"/>
    <x v="0"/>
    <s v="Okay product"/>
    <n v="3"/>
    <x v="0"/>
  </r>
  <r>
    <n v="503"/>
    <d v="2024-11-11T00:00:00"/>
    <x v="20"/>
    <s v="Shoes"/>
    <x v="0"/>
    <s v="Loved it"/>
    <n v="4"/>
    <x v="1"/>
  </r>
  <r>
    <n v="504"/>
    <d v="2024-03-30T00:00:00"/>
    <x v="6"/>
    <s v="Laptop"/>
    <x v="0"/>
    <s v="Worth the price"/>
    <n v="4"/>
    <x v="1"/>
  </r>
  <r>
    <n v="505"/>
    <d v="2024-04-15T00:00:00"/>
    <x v="1"/>
    <s v="Phone"/>
    <x v="2"/>
    <s v="Not bad"/>
    <n v="4"/>
    <x v="0"/>
  </r>
  <r>
    <n v="506"/>
    <d v="2025-09-03T00:00:00"/>
    <x v="15"/>
    <s v="Watch"/>
    <x v="0"/>
    <s v="Decent"/>
    <n v="3"/>
    <x v="0"/>
  </r>
  <r>
    <n v="507"/>
    <d v="2025-02-27T00:00:00"/>
    <x v="11"/>
    <s v="Shoes"/>
    <x v="2"/>
    <s v="Amazing experience"/>
    <n v="5"/>
    <x v="1"/>
  </r>
  <r>
    <n v="508"/>
    <d v="2025-01-24T00:00:00"/>
    <x v="22"/>
    <s v="Laptop"/>
    <x v="2"/>
    <s v="Loved it"/>
    <n v="4"/>
    <x v="1"/>
  </r>
  <r>
    <n v="509"/>
    <d v="2025-05-19T00:00:00"/>
    <x v="17"/>
    <s v="Laptop"/>
    <x v="2"/>
    <s v="Not worth it"/>
    <n v="2"/>
    <x v="2"/>
  </r>
  <r>
    <n v="510"/>
    <d v="2025-03-07T00:00:00"/>
    <x v="21"/>
    <s v="Headphones"/>
    <x v="0"/>
    <s v="Bad quality"/>
    <n v="2"/>
    <x v="2"/>
  </r>
  <r>
    <n v="511"/>
    <d v="2024-09-09T00:00:00"/>
    <x v="12"/>
    <s v="Backpack"/>
    <x v="1"/>
    <s v="Poor performance"/>
    <n v="2"/>
    <x v="2"/>
  </r>
  <r>
    <n v="512"/>
    <d v="2025-04-13T00:00:00"/>
    <x v="4"/>
    <s v="Phone"/>
    <x v="2"/>
    <s v="Not bad"/>
    <n v="3"/>
    <x v="0"/>
  </r>
  <r>
    <n v="513"/>
    <d v="2024-12-06T00:00:00"/>
    <x v="5"/>
    <s v="Tablet"/>
    <x v="1"/>
    <s v="Worth the price"/>
    <n v="5"/>
    <x v="1"/>
  </r>
  <r>
    <n v="514"/>
    <d v="2024-12-08T00:00:00"/>
    <x v="5"/>
    <s v="Shoes"/>
    <x v="1"/>
    <s v="Waste of money"/>
    <n v="2"/>
    <x v="2"/>
  </r>
  <r>
    <n v="515"/>
    <d v="2024-11-24T00:00:00"/>
    <x v="20"/>
    <s v="Watch"/>
    <x v="1"/>
    <s v="Very good quality"/>
    <n v="5"/>
    <x v="1"/>
  </r>
  <r>
    <n v="516"/>
    <d v="2024-06-30T00:00:00"/>
    <x v="16"/>
    <s v="Shoes"/>
    <x v="0"/>
    <s v="Very disappointing"/>
    <n v="2"/>
    <x v="2"/>
  </r>
  <r>
    <n v="517"/>
    <d v="2025-08-12T00:00:00"/>
    <x v="13"/>
    <s v="Tablet"/>
    <x v="2"/>
    <s v="Not bad"/>
    <n v="4"/>
    <x v="0"/>
  </r>
  <r>
    <n v="518"/>
    <d v="2025-02-06T00:00:00"/>
    <x v="11"/>
    <s v="Headphones"/>
    <x v="2"/>
    <s v="Waste of money"/>
    <n v="2"/>
    <x v="2"/>
  </r>
  <r>
    <n v="519"/>
    <d v="2025-11-29T00:00:00"/>
    <x v="14"/>
    <s v="Tablet"/>
    <x v="1"/>
    <s v="Excellent product"/>
    <n v="4"/>
    <x v="1"/>
  </r>
  <r>
    <n v="520"/>
    <d v="2024-08-02T00:00:00"/>
    <x v="7"/>
    <s v="Shoes"/>
    <x v="0"/>
    <s v="Okay product"/>
    <n v="4"/>
    <x v="0"/>
  </r>
  <r>
    <n v="521"/>
    <d v="2024-05-22T00:00:00"/>
    <x v="18"/>
    <s v="Backpack"/>
    <x v="0"/>
    <s v="Not worth it"/>
    <n v="2"/>
    <x v="2"/>
  </r>
  <r>
    <n v="522"/>
    <d v="2025-03-09T00:00:00"/>
    <x v="21"/>
    <s v="Tablet"/>
    <x v="0"/>
    <s v="Bad quality"/>
    <n v="1"/>
    <x v="2"/>
  </r>
  <r>
    <n v="523"/>
    <d v="2025-08-19T00:00:00"/>
    <x v="13"/>
    <s v="Shoes"/>
    <x v="1"/>
    <s v="Waste of money"/>
    <n v="2"/>
    <x v="2"/>
  </r>
  <r>
    <n v="524"/>
    <d v="2025-07-10T00:00:00"/>
    <x v="3"/>
    <s v="Phone"/>
    <x v="0"/>
    <s v="Fine for use"/>
    <n v="4"/>
    <x v="0"/>
  </r>
  <r>
    <n v="525"/>
    <d v="2024-04-21T00:00:00"/>
    <x v="1"/>
    <s v="Tablet"/>
    <x v="2"/>
    <s v="Not bad"/>
    <n v="3"/>
    <x v="0"/>
  </r>
  <r>
    <n v="526"/>
    <d v="2025-07-30T00:00:00"/>
    <x v="3"/>
    <s v="Backpack"/>
    <x v="1"/>
    <s v="Worth the price"/>
    <n v="4"/>
    <x v="1"/>
  </r>
  <r>
    <n v="527"/>
    <d v="2024-04-18T00:00:00"/>
    <x v="1"/>
    <s v="Phone"/>
    <x v="2"/>
    <s v="Very disappointing"/>
    <n v="2"/>
    <x v="2"/>
  </r>
  <r>
    <n v="528"/>
    <d v="2025-04-01T00:00:00"/>
    <x v="4"/>
    <s v="Headphones"/>
    <x v="0"/>
    <s v="Worth the price"/>
    <n v="4"/>
    <x v="1"/>
  </r>
  <r>
    <n v="529"/>
    <d v="2024-12-19T00:00:00"/>
    <x v="5"/>
    <s v="Phone"/>
    <x v="0"/>
    <s v="Okay product"/>
    <n v="3"/>
    <x v="0"/>
  </r>
  <r>
    <n v="530"/>
    <d v="2024-03-28T00:00:00"/>
    <x v="6"/>
    <s v="Phone"/>
    <x v="1"/>
    <s v="Not worth it"/>
    <n v="2"/>
    <x v="2"/>
  </r>
  <r>
    <n v="531"/>
    <d v="2024-12-17T00:00:00"/>
    <x v="5"/>
    <s v="Shoes"/>
    <x v="2"/>
    <s v="Waste of money"/>
    <n v="2"/>
    <x v="2"/>
  </r>
  <r>
    <n v="532"/>
    <d v="2025-05-02T00:00:00"/>
    <x v="17"/>
    <s v="Phone"/>
    <x v="0"/>
    <s v="Poor performance"/>
    <n v="2"/>
    <x v="2"/>
  </r>
  <r>
    <n v="533"/>
    <d v="2024-11-03T00:00:00"/>
    <x v="20"/>
    <s v="Phone"/>
    <x v="1"/>
    <s v="Bad quality"/>
    <n v="1"/>
    <x v="2"/>
  </r>
  <r>
    <n v="534"/>
    <d v="2025-10-25T00:00:00"/>
    <x v="8"/>
    <s v="Phone"/>
    <x v="1"/>
    <s v="Very good quality"/>
    <n v="5"/>
    <x v="1"/>
  </r>
  <r>
    <n v="535"/>
    <d v="2025-06-12T00:00:00"/>
    <x v="9"/>
    <s v="Laptop"/>
    <x v="1"/>
    <s v="Average quality"/>
    <n v="3"/>
    <x v="0"/>
  </r>
  <r>
    <n v="536"/>
    <d v="2025-04-18T00:00:00"/>
    <x v="4"/>
    <s v="Laptop"/>
    <x v="0"/>
    <s v="Not worth it"/>
    <n v="2"/>
    <x v="2"/>
  </r>
  <r>
    <n v="537"/>
    <d v="2025-02-09T00:00:00"/>
    <x v="11"/>
    <s v="Phone"/>
    <x v="1"/>
    <s v="Amazing experience"/>
    <n v="5"/>
    <x v="1"/>
  </r>
  <r>
    <n v="538"/>
    <d v="2025-08-29T00:00:00"/>
    <x v="13"/>
    <s v="Shoes"/>
    <x v="0"/>
    <s v="Excellent product"/>
    <n v="5"/>
    <x v="1"/>
  </r>
  <r>
    <n v="539"/>
    <d v="2024-07-29T00:00:00"/>
    <x v="19"/>
    <s v="Headphones"/>
    <x v="1"/>
    <s v="Okay product"/>
    <n v="3"/>
    <x v="0"/>
  </r>
  <r>
    <n v="540"/>
    <d v="2025-07-03T00:00:00"/>
    <x v="3"/>
    <s v="Laptop"/>
    <x v="0"/>
    <s v="Not bad"/>
    <n v="3"/>
    <x v="0"/>
  </r>
  <r>
    <n v="541"/>
    <d v="2024-04-26T00:00:00"/>
    <x v="1"/>
    <s v="Headphones"/>
    <x v="1"/>
    <s v="Worth the price"/>
    <n v="5"/>
    <x v="1"/>
  </r>
  <r>
    <n v="542"/>
    <d v="2025-09-03T00:00:00"/>
    <x v="15"/>
    <s v="Shoes"/>
    <x v="1"/>
    <s v="Decent"/>
    <n v="4"/>
    <x v="0"/>
  </r>
  <r>
    <n v="543"/>
    <d v="2024-12-22T00:00:00"/>
    <x v="5"/>
    <s v="Headphones"/>
    <x v="0"/>
    <s v="Fine for use"/>
    <n v="3"/>
    <x v="0"/>
  </r>
  <r>
    <n v="544"/>
    <d v="2025-09-21T00:00:00"/>
    <x v="15"/>
    <s v="Watch"/>
    <x v="2"/>
    <s v="Very good quality"/>
    <n v="5"/>
    <x v="1"/>
  </r>
  <r>
    <n v="545"/>
    <d v="2024-09-01T00:00:00"/>
    <x v="12"/>
    <s v="Headphones"/>
    <x v="2"/>
    <s v="Not worth it"/>
    <n v="1"/>
    <x v="2"/>
  </r>
  <r>
    <n v="546"/>
    <d v="2025-06-07T00:00:00"/>
    <x v="9"/>
    <s v="Shoes"/>
    <x v="0"/>
    <s v="Waste of money"/>
    <n v="1"/>
    <x v="2"/>
  </r>
  <r>
    <n v="547"/>
    <d v="2025-03-09T00:00:00"/>
    <x v="21"/>
    <s v="Laptop"/>
    <x v="0"/>
    <s v="Amazing experience"/>
    <n v="5"/>
    <x v="1"/>
  </r>
  <r>
    <n v="548"/>
    <d v="2025-07-22T00:00:00"/>
    <x v="3"/>
    <s v="Laptop"/>
    <x v="0"/>
    <s v="Not bad"/>
    <n v="3"/>
    <x v="0"/>
  </r>
  <r>
    <n v="549"/>
    <d v="2024-11-18T00:00:00"/>
    <x v="20"/>
    <s v="Tablet"/>
    <x v="0"/>
    <s v="Amazing experience"/>
    <n v="4"/>
    <x v="1"/>
  </r>
  <r>
    <n v="550"/>
    <d v="2024-01-10T00:00:00"/>
    <x v="0"/>
    <s v="Shoes"/>
    <x v="2"/>
    <s v="Very good quality"/>
    <n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20C2763-F402-40CB-9D7F-E6837B052FC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7" firstHeaderRow="1" firstDataRow="1" firstDataCol="1"/>
  <pivotFields count="8">
    <pivotField dataField="1" showAll="0"/>
    <pivotField numFmtId="14" showAll="0"/>
    <pivotField showAll="0">
      <items count="25">
        <item x="1"/>
        <item x="4"/>
        <item x="7"/>
        <item x="13"/>
        <item x="5"/>
        <item x="23"/>
        <item x="2"/>
        <item x="11"/>
        <item x="0"/>
        <item x="22"/>
        <item x="19"/>
        <item x="3"/>
        <item x="16"/>
        <item x="9"/>
        <item x="6"/>
        <item x="21"/>
        <item x="18"/>
        <item x="17"/>
        <item x="20"/>
        <item x="14"/>
        <item x="10"/>
        <item x="8"/>
        <item x="12"/>
        <item x="15"/>
        <item t="default"/>
      </items>
    </pivotField>
    <pivotField showAll="0"/>
    <pivotField showAll="0">
      <items count="4">
        <item x="1"/>
        <item x="2"/>
        <item x="0"/>
        <item t="default"/>
      </items>
    </pivotField>
    <pivotField showAll="0"/>
    <pivotField showAll="0"/>
    <pivotField axis="axisRow" showAll="0">
      <items count="4">
        <item x="2"/>
        <item x="0"/>
        <item x="1"/>
        <item t="default"/>
      </items>
    </pivotField>
  </pivotFields>
  <rowFields count="1">
    <field x="7"/>
  </rowFields>
  <rowItems count="4">
    <i>
      <x/>
    </i>
    <i>
      <x v="1"/>
    </i>
    <i>
      <x v="2"/>
    </i>
    <i t="grand">
      <x/>
    </i>
  </rowItems>
  <colItems count="1">
    <i/>
  </colItems>
  <dataFields count="1">
    <dataField name="Total review" fld="0" subtotal="count" baseField="7" baseItem="0"/>
  </dataFields>
  <formats count="24">
    <format dxfId="84">
      <pivotArea type="all" dataOnly="0" outline="0" fieldPosition="0"/>
    </format>
    <format dxfId="83">
      <pivotArea outline="0" collapsedLevelsAreSubtotals="1" fieldPosition="0"/>
    </format>
    <format dxfId="82">
      <pivotArea field="7" type="button" dataOnly="0" labelOnly="1" outline="0" axis="axisRow" fieldPosition="0"/>
    </format>
    <format dxfId="81">
      <pivotArea dataOnly="0" labelOnly="1" fieldPosition="0">
        <references count="1">
          <reference field="7" count="0"/>
        </references>
      </pivotArea>
    </format>
    <format dxfId="80">
      <pivotArea dataOnly="0" labelOnly="1" grandRow="1" outline="0" fieldPosition="0"/>
    </format>
    <format dxfId="79">
      <pivotArea dataOnly="0" labelOnly="1" outline="0" axis="axisValues" fieldPosition="0"/>
    </format>
    <format dxfId="78">
      <pivotArea type="all" dataOnly="0" outline="0" fieldPosition="0"/>
    </format>
    <format dxfId="77">
      <pivotArea outline="0" collapsedLevelsAreSubtotals="1" fieldPosition="0"/>
    </format>
    <format dxfId="76">
      <pivotArea field="7" type="button" dataOnly="0" labelOnly="1" outline="0" axis="axisRow" fieldPosition="0"/>
    </format>
    <format dxfId="75">
      <pivotArea dataOnly="0" labelOnly="1" fieldPosition="0">
        <references count="1">
          <reference field="7" count="0"/>
        </references>
      </pivotArea>
    </format>
    <format dxfId="74">
      <pivotArea dataOnly="0" labelOnly="1" grandRow="1" outline="0" fieldPosition="0"/>
    </format>
    <format dxfId="73">
      <pivotArea dataOnly="0" labelOnly="1" outline="0" axis="axisValues" fieldPosition="0"/>
    </format>
    <format dxfId="50">
      <pivotArea type="all" dataOnly="0" outline="0" fieldPosition="0"/>
    </format>
    <format dxfId="49">
      <pivotArea outline="0" collapsedLevelsAreSubtotals="1" fieldPosition="0"/>
    </format>
    <format dxfId="48">
      <pivotArea field="7" type="button" dataOnly="0" labelOnly="1" outline="0" axis="axisRow" fieldPosition="0"/>
    </format>
    <format dxfId="47">
      <pivotArea dataOnly="0" labelOnly="1" fieldPosition="0">
        <references count="1">
          <reference field="7" count="0"/>
        </references>
      </pivotArea>
    </format>
    <format dxfId="46">
      <pivotArea dataOnly="0" labelOnly="1" grandRow="1" outline="0" fieldPosition="0"/>
    </format>
    <format dxfId="45">
      <pivotArea dataOnly="0" labelOnly="1" outline="0" axis="axisValues" fieldPosition="0"/>
    </format>
    <format dxfId="44">
      <pivotArea type="all" dataOnly="0" outline="0" fieldPosition="0"/>
    </format>
    <format dxfId="43">
      <pivotArea outline="0" collapsedLevelsAreSubtotals="1" fieldPosition="0"/>
    </format>
    <format dxfId="42">
      <pivotArea field="7" type="button" dataOnly="0" labelOnly="1" outline="0" axis="axisRow" fieldPosition="0"/>
    </format>
    <format dxfId="41">
      <pivotArea dataOnly="0" labelOnly="1" fieldPosition="0">
        <references count="1">
          <reference field="7" count="0"/>
        </references>
      </pivotArea>
    </format>
    <format dxfId="40">
      <pivotArea dataOnly="0" labelOnly="1" grandRow="1" outline="0" fieldPosition="0"/>
    </format>
    <format dxfId="39">
      <pivotArea dataOnly="0" labelOnly="1" outline="0" axis="axisValues" fieldPosition="0"/>
    </format>
  </formats>
  <chartFormats count="4">
    <chartFormat chart="2" format="5" series="1">
      <pivotArea type="data" outline="0" fieldPosition="0">
        <references count="1">
          <reference field="4294967294" count="1" selected="0">
            <x v="0"/>
          </reference>
        </references>
      </pivotArea>
    </chartFormat>
    <chartFormat chart="2" format="6">
      <pivotArea type="data" outline="0" fieldPosition="0">
        <references count="2">
          <reference field="4294967294" count="1" selected="0">
            <x v="0"/>
          </reference>
          <reference field="7" count="1" selected="0">
            <x v="0"/>
          </reference>
        </references>
      </pivotArea>
    </chartFormat>
    <chartFormat chart="2" format="7">
      <pivotArea type="data" outline="0" fieldPosition="0">
        <references count="2">
          <reference field="4294967294" count="1" selected="0">
            <x v="0"/>
          </reference>
          <reference field="7" count="1" selected="0">
            <x v="1"/>
          </reference>
        </references>
      </pivotArea>
    </chartFormat>
    <chartFormat chart="2" format="8">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DE8BD6-BDB9-4818-B5D4-E8E3C6E57E9B}"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D13:E17" firstHeaderRow="1" firstDataRow="1" firstDataCol="1"/>
  <pivotFields count="8">
    <pivotField showAll="0"/>
    <pivotField numFmtId="14" showAll="0"/>
    <pivotField showAll="0">
      <items count="25">
        <item x="1"/>
        <item x="4"/>
        <item x="7"/>
        <item x="13"/>
        <item x="5"/>
        <item x="23"/>
        <item x="2"/>
        <item x="11"/>
        <item x="0"/>
        <item x="22"/>
        <item x="19"/>
        <item x="3"/>
        <item x="16"/>
        <item x="9"/>
        <item x="6"/>
        <item x="21"/>
        <item x="18"/>
        <item x="17"/>
        <item x="20"/>
        <item x="14"/>
        <item x="10"/>
        <item x="8"/>
        <item x="12"/>
        <item x="15"/>
        <item t="default"/>
      </items>
    </pivotField>
    <pivotField showAll="0"/>
    <pivotField axis="axisRow" showAll="0">
      <items count="4">
        <item x="1"/>
        <item x="2"/>
        <item x="0"/>
        <item t="default"/>
      </items>
    </pivotField>
    <pivotField showAll="0"/>
    <pivotField dataField="1" showAll="0"/>
    <pivotField showAll="0">
      <items count="4">
        <item x="2"/>
        <item x="0"/>
        <item x="1"/>
        <item t="default"/>
      </items>
    </pivotField>
  </pivotFields>
  <rowFields count="1">
    <field x="4"/>
  </rowFields>
  <rowItems count="4">
    <i>
      <x/>
    </i>
    <i>
      <x v="1"/>
    </i>
    <i>
      <x v="2"/>
    </i>
    <i t="grand">
      <x/>
    </i>
  </rowItems>
  <colItems count="1">
    <i/>
  </colItems>
  <dataFields count="1">
    <dataField name="Average of rating" fld="6" subtotal="average" baseField="4" baseItem="0" numFmtId="2"/>
  </dataFields>
  <formats count="18">
    <format dxfId="72">
      <pivotArea type="all" dataOnly="0" outline="0" fieldPosition="0"/>
    </format>
    <format dxfId="71">
      <pivotArea outline="0" collapsedLevelsAreSubtotals="1" fieldPosition="0"/>
    </format>
    <format dxfId="70">
      <pivotArea field="4" type="button" dataOnly="0" labelOnly="1" outline="0" axis="axisRow" fieldPosition="0"/>
    </format>
    <format dxfId="69">
      <pivotArea dataOnly="0" labelOnly="1" fieldPosition="0">
        <references count="1">
          <reference field="4" count="0"/>
        </references>
      </pivotArea>
    </format>
    <format dxfId="68">
      <pivotArea dataOnly="0" labelOnly="1" grandRow="1" outline="0" fieldPosition="0"/>
    </format>
    <format dxfId="67">
      <pivotArea dataOnly="0" labelOnly="1" outline="0" axis="axisValues" fieldPosition="0"/>
    </format>
    <format dxfId="24">
      <pivotArea type="all" dataOnly="0" outline="0" fieldPosition="0"/>
    </format>
    <format dxfId="23">
      <pivotArea outline="0" collapsedLevelsAreSubtotals="1" fieldPosition="0"/>
    </format>
    <format dxfId="22">
      <pivotArea field="4" type="button" dataOnly="0" labelOnly="1" outline="0" axis="axisRow" fieldPosition="0"/>
    </format>
    <format dxfId="21">
      <pivotArea dataOnly="0" labelOnly="1" fieldPosition="0">
        <references count="1">
          <reference field="4" count="0"/>
        </references>
      </pivotArea>
    </format>
    <format dxfId="20">
      <pivotArea dataOnly="0" labelOnly="1" grandRow="1" outline="0" fieldPosition="0"/>
    </format>
    <format dxfId="19">
      <pivotArea dataOnly="0" labelOnly="1" outline="0" axis="axisValues" fieldPosition="0"/>
    </format>
    <format dxfId="18">
      <pivotArea type="all" dataOnly="0" outline="0" fieldPosition="0"/>
    </format>
    <format dxfId="17">
      <pivotArea outline="0" collapsedLevelsAreSubtotals="1" fieldPosition="0"/>
    </format>
    <format dxfId="16">
      <pivotArea field="4" type="button" dataOnly="0" labelOnly="1" outline="0" axis="axisRow" fieldPosition="0"/>
    </format>
    <format dxfId="15">
      <pivotArea dataOnly="0" labelOnly="1" fieldPosition="0">
        <references count="1">
          <reference field="4" count="0"/>
        </references>
      </pivotArea>
    </format>
    <format dxfId="14">
      <pivotArea dataOnly="0" labelOnly="1" grandRow="1" outline="0" fieldPosition="0"/>
    </format>
    <format dxfId="13">
      <pivotArea dataOnly="0" labelOnly="1" outline="0" axis="axisValues"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995648-D951-4F41-B1C4-45B147A8AFD8}"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13:B38" firstHeaderRow="1" firstDataRow="1" firstDataCol="1"/>
  <pivotFields count="8">
    <pivotField dataField="1" showAll="0"/>
    <pivotField numFmtId="14" showAll="0"/>
    <pivotField axis="axisRow" showAll="0" sortType="ascending">
      <items count="25">
        <item x="1"/>
        <item x="4"/>
        <item x="7"/>
        <item x="13"/>
        <item x="5"/>
        <item x="23"/>
        <item x="2"/>
        <item x="11"/>
        <item x="0"/>
        <item x="22"/>
        <item x="19"/>
        <item x="3"/>
        <item x="16"/>
        <item x="9"/>
        <item x="6"/>
        <item x="21"/>
        <item x="18"/>
        <item x="17"/>
        <item x="20"/>
        <item x="14"/>
        <item x="10"/>
        <item x="8"/>
        <item x="12"/>
        <item x="15"/>
        <item t="default"/>
      </items>
    </pivotField>
    <pivotField showAll="0"/>
    <pivotField showAll="0">
      <items count="4">
        <item x="1"/>
        <item x="2"/>
        <item x="0"/>
        <item t="default"/>
      </items>
    </pivotField>
    <pivotField showAll="0"/>
    <pivotField showAll="0"/>
    <pivotField showAll="0">
      <items count="4">
        <item x="2"/>
        <item x="0"/>
        <item x="1"/>
        <item t="default"/>
      </items>
    </pivotField>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total review" fld="0" subtotal="count" baseField="2" baseItem="0"/>
  </dataFields>
  <formats count="18">
    <format dxfId="66">
      <pivotArea type="all" dataOnly="0" outline="0" fieldPosition="0"/>
    </format>
    <format dxfId="65">
      <pivotArea outline="0" collapsedLevelsAreSubtotals="1" fieldPosition="0"/>
    </format>
    <format dxfId="64">
      <pivotArea field="2" type="button" dataOnly="0" labelOnly="1" outline="0" axis="axisRow" fieldPosition="0"/>
    </format>
    <format dxfId="63">
      <pivotArea dataOnly="0" labelOnly="1" fieldPosition="0">
        <references count="1">
          <reference field="2" count="0"/>
        </references>
      </pivotArea>
    </format>
    <format dxfId="62">
      <pivotArea dataOnly="0" labelOnly="1" grandRow="1" outline="0" fieldPosition="0"/>
    </format>
    <format dxfId="61">
      <pivotArea dataOnly="0" labelOnly="1" outline="0" axis="axisValues" fieldPosition="0"/>
    </format>
    <format dxfId="36">
      <pivotArea type="all" dataOnly="0" outline="0" fieldPosition="0"/>
    </format>
    <format dxfId="35">
      <pivotArea outline="0" collapsedLevelsAreSubtotals="1" fieldPosition="0"/>
    </format>
    <format dxfId="34">
      <pivotArea field="2" type="button" dataOnly="0" labelOnly="1" outline="0" axis="axisRow" fieldPosition="0"/>
    </format>
    <format dxfId="33">
      <pivotArea dataOnly="0" labelOnly="1" fieldPosition="0">
        <references count="1">
          <reference field="2" count="0"/>
        </references>
      </pivotArea>
    </format>
    <format dxfId="32">
      <pivotArea dataOnly="0" labelOnly="1" grandRow="1" outline="0" fieldPosition="0"/>
    </format>
    <format dxfId="31">
      <pivotArea dataOnly="0" labelOnly="1" outline="0" axis="axisValues" fieldPosition="0"/>
    </format>
    <format dxfId="30">
      <pivotArea type="all" dataOnly="0" outline="0" fieldPosition="0"/>
    </format>
    <format dxfId="29">
      <pivotArea outline="0" collapsedLevelsAreSubtotals="1" fieldPosition="0"/>
    </format>
    <format dxfId="28">
      <pivotArea field="2" type="button" dataOnly="0" labelOnly="1" outline="0" axis="axisRow" fieldPosition="0"/>
    </format>
    <format dxfId="27">
      <pivotArea dataOnly="0" labelOnly="1" fieldPosition="0">
        <references count="1">
          <reference field="2" count="0"/>
        </references>
      </pivotArea>
    </format>
    <format dxfId="26">
      <pivotArea dataOnly="0" labelOnly="1" grandRow="1" outline="0" fieldPosition="0"/>
    </format>
    <format dxfId="25">
      <pivotArea dataOnly="0" labelOnly="1" outline="0" axis="axisValues" fieldPosition="0"/>
    </format>
  </format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02D9F7-9C3C-47C6-BC51-C277CAE6EA2D}"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D3:H8" firstHeaderRow="1" firstDataRow="2" firstDataCol="1"/>
  <pivotFields count="8">
    <pivotField dataField="1" showAll="0"/>
    <pivotField numFmtId="14" showAll="0"/>
    <pivotField showAll="0">
      <items count="25">
        <item x="1"/>
        <item x="4"/>
        <item x="7"/>
        <item x="13"/>
        <item x="5"/>
        <item x="23"/>
        <item x="2"/>
        <item x="11"/>
        <item x="0"/>
        <item x="22"/>
        <item x="19"/>
        <item x="3"/>
        <item x="16"/>
        <item x="9"/>
        <item x="6"/>
        <item x="21"/>
        <item x="18"/>
        <item x="17"/>
        <item x="20"/>
        <item x="14"/>
        <item x="10"/>
        <item x="8"/>
        <item x="12"/>
        <item x="15"/>
        <item t="default"/>
      </items>
    </pivotField>
    <pivotField showAll="0"/>
    <pivotField axis="axisRow" showAll="0">
      <items count="4">
        <item x="1"/>
        <item x="2"/>
        <item x="0"/>
        <item t="default"/>
      </items>
    </pivotField>
    <pivotField showAll="0"/>
    <pivotField showAll="0"/>
    <pivotField axis="axisCol" showAll="0">
      <items count="4">
        <item x="2"/>
        <item x="0"/>
        <item x="1"/>
        <item t="default"/>
      </items>
    </pivotField>
  </pivotFields>
  <rowFields count="1">
    <field x="4"/>
  </rowFields>
  <rowItems count="4">
    <i>
      <x/>
    </i>
    <i>
      <x v="1"/>
    </i>
    <i>
      <x v="2"/>
    </i>
    <i t="grand">
      <x/>
    </i>
  </rowItems>
  <colFields count="1">
    <field x="7"/>
  </colFields>
  <colItems count="4">
    <i>
      <x/>
    </i>
    <i>
      <x v="1"/>
    </i>
    <i>
      <x v="2"/>
    </i>
    <i t="grand">
      <x/>
    </i>
  </colItems>
  <dataFields count="1">
    <dataField name="total review" fld="0" subtotal="count" baseField="4" baseItem="0"/>
  </dataFields>
  <formats count="12">
    <format dxfId="60">
      <pivotArea type="all" dataOnly="0" outline="0" fieldPosition="0"/>
    </format>
    <format dxfId="59">
      <pivotArea outline="0" collapsedLevelsAreSubtotals="1" fieldPosition="0"/>
    </format>
    <format dxfId="58">
      <pivotArea type="origin" dataOnly="0" labelOnly="1" outline="0" fieldPosition="0"/>
    </format>
    <format dxfId="57">
      <pivotArea field="7" type="button" dataOnly="0" labelOnly="1" outline="0" axis="axisCol" fieldPosition="0"/>
    </format>
    <format dxfId="56">
      <pivotArea type="topRight" dataOnly="0" labelOnly="1" outline="0" fieldPosition="0"/>
    </format>
    <format dxfId="55">
      <pivotArea field="4" type="button" dataOnly="0" labelOnly="1" outline="0" axis="axisRow" fieldPosition="0"/>
    </format>
    <format dxfId="54">
      <pivotArea dataOnly="0" labelOnly="1" fieldPosition="0">
        <references count="1">
          <reference field="4" count="0"/>
        </references>
      </pivotArea>
    </format>
    <format dxfId="53">
      <pivotArea dataOnly="0" labelOnly="1" grandRow="1" outline="0" fieldPosition="0"/>
    </format>
    <format dxfId="52">
      <pivotArea dataOnly="0" labelOnly="1" fieldPosition="0">
        <references count="1">
          <reference field="7" count="0"/>
        </references>
      </pivotArea>
    </format>
    <format dxfId="51">
      <pivotArea dataOnly="0" labelOnly="1" grandCol="1" outline="0" fieldPosition="0"/>
    </format>
    <format dxfId="38">
      <pivotArea type="all" dataOnly="0" outline="0" fieldPosition="0"/>
    </format>
    <format dxfId="37">
      <pivotArea type="all" dataOnly="0" outline="0" fieldPosition="0"/>
    </format>
  </formats>
  <chartFormats count="3">
    <chartFormat chart="4" format="6" series="1">
      <pivotArea type="data" outline="0" fieldPosition="0">
        <references count="2">
          <reference field="4294967294" count="1" selected="0">
            <x v="0"/>
          </reference>
          <reference field="7" count="1" selected="0">
            <x v="0"/>
          </reference>
        </references>
      </pivotArea>
    </chartFormat>
    <chartFormat chart="4" format="7" series="1">
      <pivotArea type="data" outline="0" fieldPosition="0">
        <references count="2">
          <reference field="4294967294" count="1" selected="0">
            <x v="0"/>
          </reference>
          <reference field="7" count="1" selected="0">
            <x v="1"/>
          </reference>
        </references>
      </pivotArea>
    </chartFormat>
    <chartFormat chart="4" format="8" series="1">
      <pivotArea type="data" outline="0" fieldPosition="0">
        <references count="2">
          <reference field="4294967294" count="1" selected="0">
            <x v="0"/>
          </reference>
          <reference field="7"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F724C29-0F58-4097-B8C2-8328D1B36134}" sourceName="month">
  <pivotTables>
    <pivotTable tabId="2" name="PivotTable1"/>
    <pivotTable tabId="2" name="PivotTable2"/>
    <pivotTable tabId="2" name="PivotTable3"/>
    <pivotTable tabId="2" name="PivotTable4"/>
  </pivotTables>
  <data>
    <tabular pivotCacheId="1041693598">
      <items count="24">
        <i x="1" s="1"/>
        <i x="4" s="1"/>
        <i x="7" s="1"/>
        <i x="13" s="1"/>
        <i x="5" s="1"/>
        <i x="23" s="1"/>
        <i x="2" s="1"/>
        <i x="11" s="1"/>
        <i x="0" s="1"/>
        <i x="22" s="1"/>
        <i x="19" s="1"/>
        <i x="3" s="1"/>
        <i x="16" s="1"/>
        <i x="9" s="1"/>
        <i x="6" s="1"/>
        <i x="21" s="1"/>
        <i x="18" s="1"/>
        <i x="17" s="1"/>
        <i x="20" s="1"/>
        <i x="14" s="1"/>
        <i x="10" s="1"/>
        <i x="8" s="1"/>
        <i x="12" s="1"/>
        <i x="1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D9929CF2-8BC4-44A1-83DF-5F94C532BC1F}" sourceName="product_category">
  <pivotTables>
    <pivotTable tabId="2" name="PivotTable1"/>
    <pivotTable tabId="2" name="PivotTable2"/>
    <pivotTable tabId="2" name="PivotTable3"/>
    <pivotTable tabId="2" name="PivotTable4"/>
  </pivotTables>
  <data>
    <tabular pivotCacheId="1041693598">
      <items count="3">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ntiment" xr10:uid="{2B3B0575-9528-475A-907F-98EFC5A60648}" sourceName="sentiment">
  <pivotTables>
    <pivotTable tabId="2" name="PivotTable1"/>
    <pivotTable tabId="2" name="PivotTable2"/>
    <pivotTable tabId="2" name="PivotTable3"/>
    <pivotTable tabId="2" name="PivotTable4"/>
  </pivotTables>
  <data>
    <tabular pivotCacheId="1041693598">
      <items count="3">
        <i x="2" s="1"/>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95D12D02-62CC-44F4-B344-4BCC5FCBD995}" cache="Slicer_month" caption="month" rowHeight="247650"/>
  <slicer name="product_category 1" xr10:uid="{B9D513BB-3D33-4057-AE92-32C9FDAFF21A}" cache="Slicer_product_category" caption="product_category" rowHeight="247650"/>
  <slicer name="sentiment 1" xr10:uid="{DA274CC4-746D-49A6-BFF5-C35BEB2A7CD3}" cache="Slicer_sentiment" caption="sentiment"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251F43-D411-4D53-AC23-F0E9122FDEF9}" name="sentiment" displayName="sentiment" ref="A1:H551" totalsRowShown="0" headerRowDxfId="0" dataDxfId="12" headerRowBorderDxfId="10" tableBorderDxfId="11" totalsRowBorderDxfId="9">
  <autoFilter ref="A1:H551" xr:uid="{56251F43-D411-4D53-AC23-F0E9122FDEF9}"/>
  <tableColumns count="8">
    <tableColumn id="1" xr3:uid="{D7A9CE7A-3C35-4ACD-B715-B73B1AC245D1}" name="review_id" dataDxfId="8"/>
    <tableColumn id="2" xr3:uid="{DDE3CA87-3055-43C5-8C66-A1DC60487AC4}" name="date" dataDxfId="7"/>
    <tableColumn id="8" xr3:uid="{DD38E733-D2EF-48D2-9F98-7E7A55231272}" name="month" dataDxfId="6">
      <calculatedColumnFormula>TEXT(sentiment[[#This Row],[date]],"MMM-YYYY")</calculatedColumnFormula>
    </tableColumn>
    <tableColumn id="3" xr3:uid="{E934B3E6-DDF0-47A0-829F-F3DAB047FE67}" name="product_name" dataDxfId="5"/>
    <tableColumn id="4" xr3:uid="{32E1BBAF-AAA8-4DFC-873C-DC668C8D06C5}" name="product_category" dataDxfId="4"/>
    <tableColumn id="5" xr3:uid="{38B5110C-8057-4D1E-8E07-ED95FF8F5D7F}" name="review_text" dataDxfId="3"/>
    <tableColumn id="6" xr3:uid="{DDBB5DA4-BD4B-46B2-9412-D205EC4BFCEE}" name="rating" dataDxfId="2"/>
    <tableColumn id="7" xr3:uid="{9C963CCC-8F90-4088-8748-72F33CE22951}" name="sentiment"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E517D-2459-4E61-BEEC-8F6A2EB75094}">
  <sheetPr codeName="Sheet1">
    <tabColor theme="5" tint="-0.499984740745262"/>
  </sheetPr>
  <dimension ref="A1:L38"/>
  <sheetViews>
    <sheetView showGridLines="0" topLeftCell="A2" workbookViewId="0">
      <selection activeCell="F13" sqref="F13"/>
    </sheetView>
  </sheetViews>
  <sheetFormatPr defaultRowHeight="16.8" x14ac:dyDescent="0.4"/>
  <cols>
    <col min="1" max="1" width="45" style="6" bestFit="1" customWidth="1"/>
    <col min="2" max="2" width="12.6640625" style="6" bestFit="1" customWidth="1"/>
    <col min="3" max="3" width="8.88671875" style="6"/>
    <col min="4" max="4" width="47.6640625" style="6" bestFit="1" customWidth="1"/>
    <col min="5" max="5" width="14.6640625" style="6" bestFit="1" customWidth="1"/>
    <col min="6" max="6" width="7.21875" style="6" bestFit="1" customWidth="1"/>
    <col min="7" max="7" width="7.6640625" style="6" bestFit="1" customWidth="1"/>
    <col min="8" max="8" width="10.5546875" style="6" bestFit="1" customWidth="1"/>
    <col min="9" max="9" width="22.88671875" style="6" bestFit="1" customWidth="1"/>
    <col min="10" max="10" width="48.33203125" style="6" bestFit="1" customWidth="1"/>
    <col min="11" max="11" width="18.44140625" style="6" bestFit="1" customWidth="1"/>
    <col min="12" max="12" width="21.33203125" style="6" bestFit="1" customWidth="1"/>
    <col min="13" max="16384" width="8.88671875" style="6"/>
  </cols>
  <sheetData>
    <row r="1" spans="1:12" ht="24.6" x14ac:dyDescent="0.55000000000000004">
      <c r="A1" s="5" t="s">
        <v>74</v>
      </c>
      <c r="D1" s="5" t="s">
        <v>76</v>
      </c>
      <c r="J1" s="5"/>
    </row>
    <row r="2" spans="1:12" ht="17.399999999999999" thickBot="1" x14ac:dyDescent="0.45"/>
    <row r="3" spans="1:12" ht="17.399999999999999" thickBot="1" x14ac:dyDescent="0.45">
      <c r="A3" s="8" t="s">
        <v>36</v>
      </c>
      <c r="B3" s="8" t="s">
        <v>66</v>
      </c>
      <c r="D3" s="10" t="s">
        <v>67</v>
      </c>
      <c r="E3" s="10" t="s">
        <v>38</v>
      </c>
      <c r="F3" s="10"/>
      <c r="G3" s="10"/>
      <c r="H3" s="10"/>
      <c r="I3" s="7"/>
      <c r="J3" s="7"/>
      <c r="K3" s="7"/>
      <c r="L3" s="7"/>
    </row>
    <row r="4" spans="1:12" ht="17.399999999999999" thickBot="1" x14ac:dyDescent="0.45">
      <c r="A4" s="9" t="s">
        <v>20</v>
      </c>
      <c r="B4" s="8">
        <v>205</v>
      </c>
      <c r="D4" s="10" t="s">
        <v>36</v>
      </c>
      <c r="E4" s="10" t="s">
        <v>20</v>
      </c>
      <c r="F4" s="10" t="s">
        <v>10</v>
      </c>
      <c r="G4" s="10" t="s">
        <v>13</v>
      </c>
      <c r="H4" s="10" t="s">
        <v>37</v>
      </c>
      <c r="I4" s="7"/>
      <c r="J4" s="7"/>
      <c r="K4" s="7"/>
      <c r="L4" s="7"/>
    </row>
    <row r="5" spans="1:12" ht="17.399999999999999" thickBot="1" x14ac:dyDescent="0.45">
      <c r="A5" s="9" t="s">
        <v>10</v>
      </c>
      <c r="B5" s="8">
        <v>163</v>
      </c>
      <c r="D5" s="11" t="s">
        <v>11</v>
      </c>
      <c r="E5" s="10">
        <v>74</v>
      </c>
      <c r="F5" s="10">
        <v>59</v>
      </c>
      <c r="G5" s="10">
        <v>70</v>
      </c>
      <c r="H5" s="10">
        <v>203</v>
      </c>
      <c r="I5" s="7"/>
      <c r="J5" s="7"/>
      <c r="K5" s="7"/>
      <c r="L5" s="7"/>
    </row>
    <row r="6" spans="1:12" ht="17.399999999999999" thickBot="1" x14ac:dyDescent="0.45">
      <c r="A6" s="9" t="s">
        <v>13</v>
      </c>
      <c r="B6" s="8">
        <v>182</v>
      </c>
      <c r="D6" s="11" t="s">
        <v>15</v>
      </c>
      <c r="E6" s="10">
        <v>62</v>
      </c>
      <c r="F6" s="10">
        <v>50</v>
      </c>
      <c r="G6" s="10">
        <v>55</v>
      </c>
      <c r="H6" s="10">
        <v>167</v>
      </c>
      <c r="I6" s="7"/>
      <c r="J6" s="7"/>
      <c r="K6" s="7"/>
      <c r="L6" s="7"/>
    </row>
    <row r="7" spans="1:12" ht="17.399999999999999" thickBot="1" x14ac:dyDescent="0.45">
      <c r="A7" s="9" t="s">
        <v>37</v>
      </c>
      <c r="B7" s="8">
        <v>550</v>
      </c>
      <c r="D7" s="11" t="s">
        <v>8</v>
      </c>
      <c r="E7" s="10">
        <v>69</v>
      </c>
      <c r="F7" s="10">
        <v>54</v>
      </c>
      <c r="G7" s="10">
        <v>57</v>
      </c>
      <c r="H7" s="10">
        <v>180</v>
      </c>
      <c r="I7" s="7"/>
      <c r="J7" s="7"/>
      <c r="K7" s="7"/>
      <c r="L7" s="7"/>
    </row>
    <row r="8" spans="1:12" ht="17.399999999999999" thickBot="1" x14ac:dyDescent="0.45">
      <c r="D8" s="11" t="s">
        <v>37</v>
      </c>
      <c r="E8" s="10">
        <v>205</v>
      </c>
      <c r="F8" s="10">
        <v>163</v>
      </c>
      <c r="G8" s="10">
        <v>182</v>
      </c>
      <c r="H8" s="10">
        <v>550</v>
      </c>
      <c r="I8" s="7"/>
      <c r="J8" s="7"/>
      <c r="K8" s="7"/>
      <c r="L8" s="7"/>
    </row>
    <row r="9" spans="1:12" x14ac:dyDescent="0.4">
      <c r="D9" s="7"/>
      <c r="E9" s="7"/>
      <c r="F9" s="7"/>
      <c r="G9" s="7"/>
      <c r="H9" s="7"/>
      <c r="I9" s="7"/>
      <c r="J9" s="7"/>
      <c r="K9" s="7"/>
      <c r="L9" s="7"/>
    </row>
    <row r="10" spans="1:12" x14ac:dyDescent="0.4">
      <c r="D10" s="7"/>
      <c r="E10" s="7"/>
      <c r="F10" s="7"/>
      <c r="J10" s="7"/>
      <c r="K10" s="7"/>
      <c r="L10" s="7"/>
    </row>
    <row r="11" spans="1:12" ht="24.6" x14ac:dyDescent="0.55000000000000004">
      <c r="A11" s="5" t="s">
        <v>63</v>
      </c>
      <c r="D11" s="5" t="s">
        <v>64</v>
      </c>
      <c r="E11" s="7"/>
      <c r="F11" s="7"/>
      <c r="J11" s="7"/>
      <c r="K11" s="7"/>
      <c r="L11" s="7"/>
    </row>
    <row r="12" spans="1:12" ht="17.399999999999999" thickBot="1" x14ac:dyDescent="0.45">
      <c r="D12" s="7"/>
      <c r="E12" s="7"/>
      <c r="F12" s="7"/>
      <c r="J12" s="7"/>
      <c r="K12" s="7"/>
      <c r="L12" s="7"/>
    </row>
    <row r="13" spans="1:12" ht="17.399999999999999" thickBot="1" x14ac:dyDescent="0.45">
      <c r="A13" s="10" t="s">
        <v>36</v>
      </c>
      <c r="B13" s="10" t="s">
        <v>67</v>
      </c>
      <c r="C13" s="7"/>
      <c r="D13" s="10" t="s">
        <v>36</v>
      </c>
      <c r="E13" s="10" t="s">
        <v>65</v>
      </c>
      <c r="F13" s="7"/>
      <c r="J13" s="7"/>
      <c r="K13" s="7"/>
      <c r="L13" s="7"/>
    </row>
    <row r="14" spans="1:12" ht="17.399999999999999" thickBot="1" x14ac:dyDescent="0.45">
      <c r="A14" s="11" t="s">
        <v>39</v>
      </c>
      <c r="B14" s="10">
        <v>29</v>
      </c>
      <c r="C14" s="7"/>
      <c r="D14" s="11" t="s">
        <v>11</v>
      </c>
      <c r="E14" s="12">
        <v>3.1724137931034484</v>
      </c>
      <c r="F14" s="7"/>
      <c r="J14" s="7"/>
      <c r="K14" s="7"/>
      <c r="L14" s="7"/>
    </row>
    <row r="15" spans="1:12" ht="17.399999999999999" thickBot="1" x14ac:dyDescent="0.45">
      <c r="A15" s="11" t="s">
        <v>40</v>
      </c>
      <c r="B15" s="10">
        <v>33</v>
      </c>
      <c r="C15" s="7"/>
      <c r="D15" s="11" t="s">
        <v>15</v>
      </c>
      <c r="E15" s="12">
        <v>3.0958083832335328</v>
      </c>
      <c r="F15" s="7"/>
      <c r="J15" s="7"/>
      <c r="K15" s="7"/>
      <c r="L15" s="7"/>
    </row>
    <row r="16" spans="1:12" ht="17.399999999999999" thickBot="1" x14ac:dyDescent="0.45">
      <c r="A16" s="11" t="s">
        <v>41</v>
      </c>
      <c r="B16" s="10">
        <v>22</v>
      </c>
      <c r="C16" s="7"/>
      <c r="D16" s="11" t="s">
        <v>8</v>
      </c>
      <c r="E16" s="12">
        <v>3.0611111111111109</v>
      </c>
      <c r="F16" s="7"/>
      <c r="J16" s="7"/>
      <c r="K16" s="7"/>
      <c r="L16" s="7"/>
    </row>
    <row r="17" spans="1:12" ht="17.399999999999999" thickBot="1" x14ac:dyDescent="0.45">
      <c r="A17" s="11" t="s">
        <v>42</v>
      </c>
      <c r="B17" s="10">
        <v>26</v>
      </c>
      <c r="C17" s="7"/>
      <c r="D17" s="11" t="s">
        <v>37</v>
      </c>
      <c r="E17" s="12">
        <v>3.1127272727272728</v>
      </c>
      <c r="F17" s="7"/>
      <c r="J17" s="7"/>
      <c r="K17" s="7"/>
      <c r="L17" s="7"/>
    </row>
    <row r="18" spans="1:12" ht="17.399999999999999" thickBot="1" x14ac:dyDescent="0.45">
      <c r="A18" s="11" t="s">
        <v>43</v>
      </c>
      <c r="B18" s="10">
        <v>24</v>
      </c>
      <c r="C18" s="7"/>
      <c r="D18" s="7"/>
      <c r="E18" s="7"/>
      <c r="F18" s="7"/>
      <c r="J18" s="7"/>
      <c r="K18" s="7"/>
      <c r="L18" s="7"/>
    </row>
    <row r="19" spans="1:12" ht="17.399999999999999" thickBot="1" x14ac:dyDescent="0.45">
      <c r="A19" s="11" t="s">
        <v>44</v>
      </c>
      <c r="B19" s="10">
        <v>1</v>
      </c>
      <c r="C19" s="7"/>
      <c r="D19" s="7"/>
      <c r="E19" s="7"/>
      <c r="F19" s="7"/>
      <c r="J19" s="7"/>
      <c r="K19" s="7"/>
      <c r="L19" s="7"/>
    </row>
    <row r="20" spans="1:12" ht="17.399999999999999" thickBot="1" x14ac:dyDescent="0.45">
      <c r="A20" s="11" t="s">
        <v>45</v>
      </c>
      <c r="B20" s="10">
        <v>31</v>
      </c>
      <c r="C20" s="7"/>
      <c r="D20" s="7"/>
      <c r="E20" s="7"/>
      <c r="F20" s="7"/>
      <c r="J20" s="7"/>
      <c r="K20" s="7"/>
      <c r="L20" s="7"/>
    </row>
    <row r="21" spans="1:12" ht="17.399999999999999" thickBot="1" x14ac:dyDescent="0.45">
      <c r="A21" s="11" t="s">
        <v>46</v>
      </c>
      <c r="B21" s="10">
        <v>31</v>
      </c>
      <c r="C21" s="7"/>
      <c r="D21" s="7"/>
      <c r="E21" s="7"/>
      <c r="F21" s="7"/>
    </row>
    <row r="22" spans="1:12" ht="17.399999999999999" thickBot="1" x14ac:dyDescent="0.45">
      <c r="A22" s="11" t="s">
        <v>47</v>
      </c>
      <c r="B22" s="10">
        <v>11</v>
      </c>
      <c r="C22" s="7"/>
      <c r="D22" s="7"/>
      <c r="E22" s="7"/>
      <c r="F22" s="7"/>
    </row>
    <row r="23" spans="1:12" ht="17.399999999999999" thickBot="1" x14ac:dyDescent="0.45">
      <c r="A23" s="11" t="s">
        <v>48</v>
      </c>
      <c r="B23" s="10">
        <v>22</v>
      </c>
      <c r="C23" s="7"/>
      <c r="D23" s="7"/>
      <c r="E23" s="7"/>
      <c r="F23" s="7"/>
    </row>
    <row r="24" spans="1:12" ht="17.399999999999999" thickBot="1" x14ac:dyDescent="0.45">
      <c r="A24" s="11" t="s">
        <v>49</v>
      </c>
      <c r="B24" s="10">
        <v>26</v>
      </c>
      <c r="C24" s="7"/>
      <c r="D24" s="7"/>
      <c r="E24" s="7"/>
      <c r="F24" s="7"/>
    </row>
    <row r="25" spans="1:12" ht="17.399999999999999" thickBot="1" x14ac:dyDescent="0.45">
      <c r="A25" s="11" t="s">
        <v>50</v>
      </c>
      <c r="B25" s="10">
        <v>32</v>
      </c>
      <c r="C25" s="7"/>
      <c r="D25" s="7"/>
      <c r="E25" s="7"/>
      <c r="F25" s="7"/>
    </row>
    <row r="26" spans="1:12" ht="17.399999999999999" thickBot="1" x14ac:dyDescent="0.45">
      <c r="A26" s="11" t="s">
        <v>51</v>
      </c>
      <c r="B26" s="10">
        <v>24</v>
      </c>
      <c r="C26" s="7"/>
      <c r="D26" s="7"/>
      <c r="E26" s="7"/>
      <c r="F26" s="7"/>
    </row>
    <row r="27" spans="1:12" ht="17.399999999999999" thickBot="1" x14ac:dyDescent="0.45">
      <c r="A27" s="11" t="s">
        <v>52</v>
      </c>
      <c r="B27" s="10">
        <v>14</v>
      </c>
      <c r="C27" s="7"/>
      <c r="D27" s="7"/>
      <c r="E27" s="7"/>
      <c r="F27" s="7"/>
    </row>
    <row r="28" spans="1:12" ht="17.399999999999999" thickBot="1" x14ac:dyDescent="0.45">
      <c r="A28" s="11" t="s">
        <v>53</v>
      </c>
      <c r="B28" s="10">
        <v>34</v>
      </c>
      <c r="C28" s="7"/>
      <c r="D28" s="7"/>
      <c r="E28" s="7"/>
      <c r="F28" s="7"/>
    </row>
    <row r="29" spans="1:12" ht="17.399999999999999" thickBot="1" x14ac:dyDescent="0.45">
      <c r="A29" s="11" t="s">
        <v>54</v>
      </c>
      <c r="B29" s="10">
        <v>17</v>
      </c>
      <c r="C29" s="7"/>
      <c r="D29" s="7"/>
      <c r="E29" s="7"/>
      <c r="F29" s="7"/>
    </row>
    <row r="30" spans="1:12" ht="17.399999999999999" thickBot="1" x14ac:dyDescent="0.45">
      <c r="A30" s="11" t="s">
        <v>55</v>
      </c>
      <c r="B30" s="10">
        <v>18</v>
      </c>
      <c r="C30" s="7"/>
      <c r="D30" s="7"/>
      <c r="E30" s="7"/>
      <c r="F30" s="7"/>
    </row>
    <row r="31" spans="1:12" ht="17.399999999999999" thickBot="1" x14ac:dyDescent="0.45">
      <c r="A31" s="11" t="s">
        <v>56</v>
      </c>
      <c r="B31" s="10">
        <v>17</v>
      </c>
    </row>
    <row r="32" spans="1:12" ht="17.399999999999999" thickBot="1" x14ac:dyDescent="0.45">
      <c r="A32" s="11" t="s">
        <v>57</v>
      </c>
      <c r="B32" s="10">
        <v>26</v>
      </c>
    </row>
    <row r="33" spans="1:2" ht="17.399999999999999" thickBot="1" x14ac:dyDescent="0.45">
      <c r="A33" s="11" t="s">
        <v>58</v>
      </c>
      <c r="B33" s="10">
        <v>18</v>
      </c>
    </row>
    <row r="34" spans="1:2" ht="17.399999999999999" thickBot="1" x14ac:dyDescent="0.45">
      <c r="A34" s="11" t="s">
        <v>59</v>
      </c>
      <c r="B34" s="10">
        <v>25</v>
      </c>
    </row>
    <row r="35" spans="1:2" ht="17.399999999999999" thickBot="1" x14ac:dyDescent="0.45">
      <c r="A35" s="11" t="s">
        <v>60</v>
      </c>
      <c r="B35" s="10">
        <v>27</v>
      </c>
    </row>
    <row r="36" spans="1:2" ht="17.399999999999999" thickBot="1" x14ac:dyDescent="0.45">
      <c r="A36" s="11" t="s">
        <v>61</v>
      </c>
      <c r="B36" s="10">
        <v>23</v>
      </c>
    </row>
    <row r="37" spans="1:2" ht="17.399999999999999" thickBot="1" x14ac:dyDescent="0.45">
      <c r="A37" s="11" t="s">
        <v>62</v>
      </c>
      <c r="B37" s="10">
        <v>19</v>
      </c>
    </row>
    <row r="38" spans="1:2" ht="17.399999999999999" thickBot="1" x14ac:dyDescent="0.45">
      <c r="A38" s="11" t="s">
        <v>37</v>
      </c>
      <c r="B38" s="10">
        <v>550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CE655-1BAC-4B70-B800-2D640EAF250C}">
  <sheetPr>
    <tabColor theme="5" tint="-0.499984740745262"/>
  </sheetPr>
  <dimension ref="A3:K33"/>
  <sheetViews>
    <sheetView showGridLines="0" workbookViewId="0">
      <selection activeCell="E14" sqref="E14"/>
    </sheetView>
  </sheetViews>
  <sheetFormatPr defaultRowHeight="16.8" x14ac:dyDescent="0.4"/>
  <cols>
    <col min="1" max="1" width="40.33203125" style="3" bestFit="1" customWidth="1"/>
    <col min="2" max="2" width="10.6640625" style="3" bestFit="1" customWidth="1"/>
    <col min="3" max="4" width="8.88671875" style="3"/>
    <col min="5" max="5" width="37.6640625" style="3" bestFit="1" customWidth="1"/>
    <col min="6" max="8" width="8.88671875" style="3"/>
    <col min="9" max="9" width="16.6640625" style="3" bestFit="1" customWidth="1"/>
    <col min="10" max="10" width="8.88671875" style="3"/>
    <col min="11" max="11" width="31" style="3" bestFit="1" customWidth="1"/>
    <col min="12" max="16384" width="8.88671875" style="3"/>
  </cols>
  <sheetData>
    <row r="3" spans="1:11" ht="17.399999999999999" thickBot="1" x14ac:dyDescent="0.45"/>
    <row r="4" spans="1:11" ht="21" thickBot="1" x14ac:dyDescent="0.5">
      <c r="A4" s="1" t="s">
        <v>68</v>
      </c>
      <c r="B4" s="1" t="s">
        <v>69</v>
      </c>
    </row>
    <row r="5" spans="1:11" ht="17.399999999999999" thickBot="1" x14ac:dyDescent="0.45">
      <c r="A5" s="2" t="s">
        <v>70</v>
      </c>
      <c r="B5" s="2">
        <f>COUNTA(sentiment!F2:F551)</f>
        <v>550</v>
      </c>
    </row>
    <row r="6" spans="1:11" ht="17.399999999999999" thickBot="1" x14ac:dyDescent="0.45">
      <c r="A6" s="2" t="s">
        <v>71</v>
      </c>
      <c r="B6" s="2">
        <f>COUNTIF(sentiment!H2:H551,"positive")</f>
        <v>182</v>
      </c>
    </row>
    <row r="7" spans="1:11" ht="17.399999999999999" thickBot="1" x14ac:dyDescent="0.45">
      <c r="A7" s="2" t="s">
        <v>72</v>
      </c>
      <c r="B7" s="2">
        <f>COUNTIF(sentiment!F2:F551,"negative")</f>
        <v>0</v>
      </c>
    </row>
    <row r="8" spans="1:11" ht="17.399999999999999" thickBot="1" x14ac:dyDescent="0.45">
      <c r="A8" s="2" t="s">
        <v>73</v>
      </c>
      <c r="B8" s="2">
        <f>AVERAGE(sentiment[rating])</f>
        <v>3.1127272727272728</v>
      </c>
    </row>
    <row r="15" spans="1:11" ht="20.399999999999999" x14ac:dyDescent="0.45">
      <c r="A15" s="4" t="s">
        <v>75</v>
      </c>
      <c r="E15" s="4" t="s">
        <v>77</v>
      </c>
      <c r="K15" s="4" t="s">
        <v>78</v>
      </c>
    </row>
    <row r="33" spans="1:9" ht="20.399999999999999" x14ac:dyDescent="0.45">
      <c r="A33" s="4" t="s">
        <v>79</v>
      </c>
      <c r="I33" s="4" t="s">
        <v>80</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B6977-FA55-4A3C-89BD-CEBC9E9044E1}">
  <sheetPr codeName="Sheet2">
    <tabColor theme="5" tint="-0.499984740745262"/>
  </sheetPr>
  <dimension ref="A1:H551"/>
  <sheetViews>
    <sheetView showGridLines="0" tabSelected="1" workbookViewId="0">
      <selection activeCell="K7" sqref="K7"/>
    </sheetView>
  </sheetViews>
  <sheetFormatPr defaultRowHeight="16.8" x14ac:dyDescent="0.4"/>
  <cols>
    <col min="1" max="1" width="12" style="6" bestFit="1" customWidth="1"/>
    <col min="2" max="2" width="11.44140625" style="6" bestFit="1" customWidth="1"/>
    <col min="3" max="3" width="10" style="6" bestFit="1" customWidth="1"/>
    <col min="4" max="4" width="16.77734375" style="6" bestFit="1" customWidth="1"/>
    <col min="5" max="5" width="20" style="6" bestFit="1" customWidth="1"/>
    <col min="6" max="6" width="18.77734375" style="6" bestFit="1" customWidth="1"/>
    <col min="7" max="7" width="9" style="6" bestFit="1" customWidth="1"/>
    <col min="8" max="8" width="12.6640625" style="6" bestFit="1" customWidth="1"/>
    <col min="9" max="16384" width="8.88671875" style="6"/>
  </cols>
  <sheetData>
    <row r="1" spans="1:8" ht="17.399999999999999" thickBot="1" x14ac:dyDescent="0.45">
      <c r="A1" s="13" t="s">
        <v>0</v>
      </c>
      <c r="B1" s="14" t="s">
        <v>1</v>
      </c>
      <c r="C1" s="14" t="s">
        <v>35</v>
      </c>
      <c r="D1" s="14" t="s">
        <v>2</v>
      </c>
      <c r="E1" s="14" t="s">
        <v>3</v>
      </c>
      <c r="F1" s="14" t="s">
        <v>4</v>
      </c>
      <c r="G1" s="14" t="s">
        <v>5</v>
      </c>
      <c r="H1" s="15" t="s">
        <v>6</v>
      </c>
    </row>
    <row r="2" spans="1:8" ht="17.399999999999999" thickBot="1" x14ac:dyDescent="0.45">
      <c r="A2" s="16">
        <v>1</v>
      </c>
      <c r="B2" s="17">
        <v>45317</v>
      </c>
      <c r="C2" s="17" t="str">
        <f>TEXT(sentiment[[#This Row],[date]],"MMM-YYYY")</f>
        <v>Jan-2024</v>
      </c>
      <c r="D2" s="18" t="s">
        <v>7</v>
      </c>
      <c r="E2" s="18" t="s">
        <v>8</v>
      </c>
      <c r="F2" s="18" t="s">
        <v>9</v>
      </c>
      <c r="G2" s="18">
        <v>3</v>
      </c>
      <c r="H2" s="19" t="s">
        <v>10</v>
      </c>
    </row>
    <row r="3" spans="1:8" ht="17.399999999999999" thickBot="1" x14ac:dyDescent="0.45">
      <c r="A3" s="16">
        <v>2</v>
      </c>
      <c r="B3" s="17">
        <v>45396</v>
      </c>
      <c r="C3" s="17" t="str">
        <f>TEXT(sentiment[[#This Row],[date]],"MMM-YYYY")</f>
        <v>Apr-2024</v>
      </c>
      <c r="D3" s="18" t="s">
        <v>7</v>
      </c>
      <c r="E3" s="18" t="s">
        <v>11</v>
      </c>
      <c r="F3" s="18" t="s">
        <v>12</v>
      </c>
      <c r="G3" s="18">
        <v>4</v>
      </c>
      <c r="H3" s="19" t="s">
        <v>13</v>
      </c>
    </row>
    <row r="4" spans="1:8" ht="17.399999999999999" thickBot="1" x14ac:dyDescent="0.45">
      <c r="A4" s="16">
        <v>3</v>
      </c>
      <c r="B4" s="17">
        <v>45324</v>
      </c>
      <c r="C4" s="17" t="str">
        <f>TEXT(sentiment[[#This Row],[date]],"MMM-YYYY")</f>
        <v>Feb-2024</v>
      </c>
      <c r="D4" s="18" t="s">
        <v>14</v>
      </c>
      <c r="E4" s="18" t="s">
        <v>15</v>
      </c>
      <c r="F4" s="18" t="s">
        <v>16</v>
      </c>
      <c r="G4" s="18">
        <v>5</v>
      </c>
      <c r="H4" s="19" t="s">
        <v>13</v>
      </c>
    </row>
    <row r="5" spans="1:8" ht="17.399999999999999" thickBot="1" x14ac:dyDescent="0.45">
      <c r="A5" s="16">
        <v>4</v>
      </c>
      <c r="B5" s="17">
        <v>45866</v>
      </c>
      <c r="C5" s="17" t="str">
        <f>TEXT(sentiment[[#This Row],[date]],"MMM-YYYY")</f>
        <v>Jul-2025</v>
      </c>
      <c r="D5" s="18" t="s">
        <v>17</v>
      </c>
      <c r="E5" s="18" t="s">
        <v>11</v>
      </c>
      <c r="F5" s="18" t="s">
        <v>12</v>
      </c>
      <c r="G5" s="18">
        <v>4</v>
      </c>
      <c r="H5" s="19" t="s">
        <v>13</v>
      </c>
    </row>
    <row r="6" spans="1:8" ht="17.399999999999999" thickBot="1" x14ac:dyDescent="0.45">
      <c r="A6" s="16">
        <v>5</v>
      </c>
      <c r="B6" s="17">
        <v>45751</v>
      </c>
      <c r="C6" s="17" t="str">
        <f>TEXT(sentiment[[#This Row],[date]],"MMM-YYYY")</f>
        <v>Apr-2025</v>
      </c>
      <c r="D6" s="18" t="s">
        <v>18</v>
      </c>
      <c r="E6" s="18" t="s">
        <v>8</v>
      </c>
      <c r="F6" s="18" t="s">
        <v>19</v>
      </c>
      <c r="G6" s="18">
        <v>1</v>
      </c>
      <c r="H6" s="19" t="s">
        <v>20</v>
      </c>
    </row>
    <row r="7" spans="1:8" ht="17.399999999999999" thickBot="1" x14ac:dyDescent="0.45">
      <c r="A7" s="16">
        <v>6</v>
      </c>
      <c r="B7" s="17">
        <v>45640</v>
      </c>
      <c r="C7" s="17" t="str">
        <f>TEXT(sentiment[[#This Row],[date]],"MMM-YYYY")</f>
        <v>Dec-2024</v>
      </c>
      <c r="D7" s="18" t="s">
        <v>21</v>
      </c>
      <c r="E7" s="18" t="s">
        <v>15</v>
      </c>
      <c r="F7" s="18" t="s">
        <v>16</v>
      </c>
      <c r="G7" s="18">
        <v>5</v>
      </c>
      <c r="H7" s="19" t="s">
        <v>13</v>
      </c>
    </row>
    <row r="8" spans="1:8" ht="17.399999999999999" thickBot="1" x14ac:dyDescent="0.45">
      <c r="A8" s="16">
        <v>7</v>
      </c>
      <c r="B8" s="17">
        <v>45386</v>
      </c>
      <c r="C8" s="17" t="str">
        <f>TEXT(sentiment[[#This Row],[date]],"MMM-YYYY")</f>
        <v>Apr-2024</v>
      </c>
      <c r="D8" s="18" t="s">
        <v>22</v>
      </c>
      <c r="E8" s="18" t="s">
        <v>15</v>
      </c>
      <c r="F8" s="18" t="s">
        <v>23</v>
      </c>
      <c r="G8" s="18">
        <v>1</v>
      </c>
      <c r="H8" s="19" t="s">
        <v>20</v>
      </c>
    </row>
    <row r="9" spans="1:8" ht="17.399999999999999" thickBot="1" x14ac:dyDescent="0.45">
      <c r="A9" s="16">
        <v>8</v>
      </c>
      <c r="B9" s="17">
        <v>45336</v>
      </c>
      <c r="C9" s="17" t="str">
        <f>TEXT(sentiment[[#This Row],[date]],"MMM-YYYY")</f>
        <v>Feb-2024</v>
      </c>
      <c r="D9" s="18" t="s">
        <v>7</v>
      </c>
      <c r="E9" s="18" t="s">
        <v>8</v>
      </c>
      <c r="F9" s="18" t="s">
        <v>24</v>
      </c>
      <c r="G9" s="18">
        <v>2</v>
      </c>
      <c r="H9" s="19" t="s">
        <v>20</v>
      </c>
    </row>
    <row r="10" spans="1:8" ht="17.399999999999999" thickBot="1" x14ac:dyDescent="0.45">
      <c r="A10" s="16">
        <v>9</v>
      </c>
      <c r="B10" s="17">
        <v>45372</v>
      </c>
      <c r="C10" s="17" t="str">
        <f>TEXT(sentiment[[#This Row],[date]],"MMM-YYYY")</f>
        <v>Mar-2024</v>
      </c>
      <c r="D10" s="18" t="s">
        <v>18</v>
      </c>
      <c r="E10" s="18" t="s">
        <v>8</v>
      </c>
      <c r="F10" s="18" t="s">
        <v>12</v>
      </c>
      <c r="G10" s="18">
        <v>5</v>
      </c>
      <c r="H10" s="19" t="s">
        <v>13</v>
      </c>
    </row>
    <row r="11" spans="1:8" ht="17.399999999999999" thickBot="1" x14ac:dyDescent="0.45">
      <c r="A11" s="16">
        <v>10</v>
      </c>
      <c r="B11" s="17">
        <v>45363</v>
      </c>
      <c r="C11" s="17" t="str">
        <f>TEXT(sentiment[[#This Row],[date]],"MMM-YYYY")</f>
        <v>Mar-2024</v>
      </c>
      <c r="D11" s="18" t="s">
        <v>14</v>
      </c>
      <c r="E11" s="18" t="s">
        <v>11</v>
      </c>
      <c r="F11" s="18" t="s">
        <v>25</v>
      </c>
      <c r="G11" s="18">
        <v>1</v>
      </c>
      <c r="H11" s="19" t="s">
        <v>20</v>
      </c>
    </row>
    <row r="12" spans="1:8" ht="17.399999999999999" thickBot="1" x14ac:dyDescent="0.45">
      <c r="A12" s="16">
        <v>11</v>
      </c>
      <c r="B12" s="17">
        <v>45530</v>
      </c>
      <c r="C12" s="17" t="str">
        <f>TEXT(sentiment[[#This Row],[date]],"MMM-YYYY")</f>
        <v>Aug-2024</v>
      </c>
      <c r="D12" s="18" t="s">
        <v>26</v>
      </c>
      <c r="E12" s="18" t="s">
        <v>15</v>
      </c>
      <c r="F12" s="18" t="s">
        <v>27</v>
      </c>
      <c r="G12" s="18">
        <v>1</v>
      </c>
      <c r="H12" s="19" t="s">
        <v>20</v>
      </c>
    </row>
    <row r="13" spans="1:8" ht="17.399999999999999" thickBot="1" x14ac:dyDescent="0.45">
      <c r="A13" s="16">
        <v>12</v>
      </c>
      <c r="B13" s="17">
        <v>45942</v>
      </c>
      <c r="C13" s="17" t="str">
        <f>TEXT(sentiment[[#This Row],[date]],"MMM-YYYY")</f>
        <v>Oct-2025</v>
      </c>
      <c r="D13" s="18" t="s">
        <v>26</v>
      </c>
      <c r="E13" s="18" t="s">
        <v>8</v>
      </c>
      <c r="F13" s="18" t="s">
        <v>25</v>
      </c>
      <c r="G13" s="18">
        <v>2</v>
      </c>
      <c r="H13" s="19" t="s">
        <v>20</v>
      </c>
    </row>
    <row r="14" spans="1:8" ht="17.399999999999999" thickBot="1" x14ac:dyDescent="0.45">
      <c r="A14" s="16">
        <v>13</v>
      </c>
      <c r="B14" s="17">
        <v>45506</v>
      </c>
      <c r="C14" s="17" t="str">
        <f>TEXT(sentiment[[#This Row],[date]],"MMM-YYYY")</f>
        <v>Aug-2024</v>
      </c>
      <c r="D14" s="18" t="s">
        <v>7</v>
      </c>
      <c r="E14" s="18" t="s">
        <v>8</v>
      </c>
      <c r="F14" s="18" t="s">
        <v>19</v>
      </c>
      <c r="G14" s="18">
        <v>2</v>
      </c>
      <c r="H14" s="19" t="s">
        <v>20</v>
      </c>
    </row>
    <row r="15" spans="1:8" ht="17.399999999999999" thickBot="1" x14ac:dyDescent="0.45">
      <c r="A15" s="16">
        <v>14</v>
      </c>
      <c r="B15" s="17">
        <v>45838</v>
      </c>
      <c r="C15" s="17" t="str">
        <f>TEXT(sentiment[[#This Row],[date]],"MMM-YYYY")</f>
        <v>Jun-2025</v>
      </c>
      <c r="D15" s="18" t="s">
        <v>7</v>
      </c>
      <c r="E15" s="18" t="s">
        <v>15</v>
      </c>
      <c r="F15" s="18" t="s">
        <v>9</v>
      </c>
      <c r="G15" s="18">
        <v>3</v>
      </c>
      <c r="H15" s="19" t="s">
        <v>10</v>
      </c>
    </row>
    <row r="16" spans="1:8" ht="17.399999999999999" thickBot="1" x14ac:dyDescent="0.45">
      <c r="A16" s="16">
        <v>15</v>
      </c>
      <c r="B16" s="17">
        <v>45568</v>
      </c>
      <c r="C16" s="17" t="str">
        <f>TEXT(sentiment[[#This Row],[date]],"MMM-YYYY")</f>
        <v>Oct-2024</v>
      </c>
      <c r="D16" s="18" t="s">
        <v>7</v>
      </c>
      <c r="E16" s="18" t="s">
        <v>11</v>
      </c>
      <c r="F16" s="18" t="s">
        <v>24</v>
      </c>
      <c r="G16" s="18">
        <v>2</v>
      </c>
      <c r="H16" s="19" t="s">
        <v>20</v>
      </c>
    </row>
    <row r="17" spans="1:8" ht="17.399999999999999" thickBot="1" x14ac:dyDescent="0.45">
      <c r="A17" s="16">
        <v>16</v>
      </c>
      <c r="B17" s="17">
        <v>45349</v>
      </c>
      <c r="C17" s="17" t="str">
        <f>TEXT(sentiment[[#This Row],[date]],"MMM-YYYY")</f>
        <v>Feb-2024</v>
      </c>
      <c r="D17" s="18" t="s">
        <v>17</v>
      </c>
      <c r="E17" s="18" t="s">
        <v>15</v>
      </c>
      <c r="F17" s="18" t="s">
        <v>28</v>
      </c>
      <c r="G17" s="18">
        <v>5</v>
      </c>
      <c r="H17" s="19" t="s">
        <v>13</v>
      </c>
    </row>
    <row r="18" spans="1:8" ht="17.399999999999999" thickBot="1" x14ac:dyDescent="0.45">
      <c r="A18" s="16">
        <v>17</v>
      </c>
      <c r="B18" s="17">
        <v>45359</v>
      </c>
      <c r="C18" s="17" t="str">
        <f>TEXT(sentiment[[#This Row],[date]],"MMM-YYYY")</f>
        <v>Mar-2024</v>
      </c>
      <c r="D18" s="18" t="s">
        <v>17</v>
      </c>
      <c r="E18" s="18" t="s">
        <v>11</v>
      </c>
      <c r="F18" s="18" t="s">
        <v>23</v>
      </c>
      <c r="G18" s="18">
        <v>2</v>
      </c>
      <c r="H18" s="19" t="s">
        <v>20</v>
      </c>
    </row>
    <row r="19" spans="1:8" ht="17.399999999999999" thickBot="1" x14ac:dyDescent="0.45">
      <c r="A19" s="16">
        <v>18</v>
      </c>
      <c r="B19" s="17">
        <v>45697</v>
      </c>
      <c r="C19" s="17" t="str">
        <f>TEXT(sentiment[[#This Row],[date]],"MMM-YYYY")</f>
        <v>Feb-2025</v>
      </c>
      <c r="D19" s="18" t="s">
        <v>7</v>
      </c>
      <c r="E19" s="18" t="s">
        <v>8</v>
      </c>
      <c r="F19" s="18" t="s">
        <v>16</v>
      </c>
      <c r="G19" s="18">
        <v>5</v>
      </c>
      <c r="H19" s="19" t="s">
        <v>13</v>
      </c>
    </row>
    <row r="20" spans="1:8" ht="17.399999999999999" thickBot="1" x14ac:dyDescent="0.45">
      <c r="A20" s="16">
        <v>19</v>
      </c>
      <c r="B20" s="17">
        <v>45544</v>
      </c>
      <c r="C20" s="17" t="str">
        <f>TEXT(sentiment[[#This Row],[date]],"MMM-YYYY")</f>
        <v>Sep-2024</v>
      </c>
      <c r="D20" s="18" t="s">
        <v>7</v>
      </c>
      <c r="E20" s="18" t="s">
        <v>11</v>
      </c>
      <c r="F20" s="18" t="s">
        <v>24</v>
      </c>
      <c r="G20" s="18">
        <v>1</v>
      </c>
      <c r="H20" s="19" t="s">
        <v>20</v>
      </c>
    </row>
    <row r="21" spans="1:8" ht="17.399999999999999" thickBot="1" x14ac:dyDescent="0.45">
      <c r="A21" s="16">
        <v>20</v>
      </c>
      <c r="B21" s="17">
        <v>45889</v>
      </c>
      <c r="C21" s="17" t="str">
        <f>TEXT(sentiment[[#This Row],[date]],"MMM-YYYY")</f>
        <v>Aug-2025</v>
      </c>
      <c r="D21" s="18" t="s">
        <v>22</v>
      </c>
      <c r="E21" s="18" t="s">
        <v>8</v>
      </c>
      <c r="F21" s="18" t="s">
        <v>25</v>
      </c>
      <c r="G21" s="18">
        <v>2</v>
      </c>
      <c r="H21" s="19" t="s">
        <v>20</v>
      </c>
    </row>
    <row r="22" spans="1:8" ht="17.399999999999999" thickBot="1" x14ac:dyDescent="0.45">
      <c r="A22" s="16">
        <v>21</v>
      </c>
      <c r="B22" s="17">
        <v>45385</v>
      </c>
      <c r="C22" s="17" t="str">
        <f>TEXT(sentiment[[#This Row],[date]],"MMM-YYYY")</f>
        <v>Apr-2024</v>
      </c>
      <c r="D22" s="18" t="s">
        <v>26</v>
      </c>
      <c r="E22" s="18" t="s">
        <v>15</v>
      </c>
      <c r="F22" s="18" t="s">
        <v>29</v>
      </c>
      <c r="G22" s="18">
        <v>5</v>
      </c>
      <c r="H22" s="19" t="s">
        <v>13</v>
      </c>
    </row>
    <row r="23" spans="1:8" ht="17.399999999999999" thickBot="1" x14ac:dyDescent="0.45">
      <c r="A23" s="16">
        <v>22</v>
      </c>
      <c r="B23" s="17">
        <v>45988</v>
      </c>
      <c r="C23" s="17" t="str">
        <f>TEXT(sentiment[[#This Row],[date]],"MMM-YYYY")</f>
        <v>Nov-2025</v>
      </c>
      <c r="D23" s="18" t="s">
        <v>22</v>
      </c>
      <c r="E23" s="18" t="s">
        <v>11</v>
      </c>
      <c r="F23" s="18" t="s">
        <v>29</v>
      </c>
      <c r="G23" s="18">
        <v>4</v>
      </c>
      <c r="H23" s="19" t="s">
        <v>13</v>
      </c>
    </row>
    <row r="24" spans="1:8" ht="17.399999999999999" thickBot="1" x14ac:dyDescent="0.45">
      <c r="A24" s="16">
        <v>23</v>
      </c>
      <c r="B24" s="17">
        <v>45902</v>
      </c>
      <c r="C24" s="17" t="str">
        <f>TEXT(sentiment[[#This Row],[date]],"MMM-YYYY")</f>
        <v>Sep-2025</v>
      </c>
      <c r="D24" s="18" t="s">
        <v>22</v>
      </c>
      <c r="E24" s="18" t="s">
        <v>11</v>
      </c>
      <c r="F24" s="18" t="s">
        <v>23</v>
      </c>
      <c r="G24" s="18">
        <v>2</v>
      </c>
      <c r="H24" s="19" t="s">
        <v>20</v>
      </c>
    </row>
    <row r="25" spans="1:8" ht="17.399999999999999" thickBot="1" x14ac:dyDescent="0.45">
      <c r="A25" s="16">
        <v>24</v>
      </c>
      <c r="B25" s="17">
        <v>45988</v>
      </c>
      <c r="C25" s="17" t="str">
        <f>TEXT(sentiment[[#This Row],[date]],"MMM-YYYY")</f>
        <v>Nov-2025</v>
      </c>
      <c r="D25" s="18" t="s">
        <v>7</v>
      </c>
      <c r="E25" s="18" t="s">
        <v>15</v>
      </c>
      <c r="F25" s="18" t="s">
        <v>30</v>
      </c>
      <c r="G25" s="18">
        <v>3</v>
      </c>
      <c r="H25" s="19" t="s">
        <v>10</v>
      </c>
    </row>
    <row r="26" spans="1:8" ht="17.399999999999999" thickBot="1" x14ac:dyDescent="0.45">
      <c r="A26" s="16">
        <v>25</v>
      </c>
      <c r="B26" s="17">
        <v>45406</v>
      </c>
      <c r="C26" s="17" t="str">
        <f>TEXT(sentiment[[#This Row],[date]],"MMM-YYYY")</f>
        <v>Apr-2024</v>
      </c>
      <c r="D26" s="18" t="s">
        <v>21</v>
      </c>
      <c r="E26" s="18" t="s">
        <v>8</v>
      </c>
      <c r="F26" s="18" t="s">
        <v>25</v>
      </c>
      <c r="G26" s="18">
        <v>2</v>
      </c>
      <c r="H26" s="19" t="s">
        <v>20</v>
      </c>
    </row>
    <row r="27" spans="1:8" ht="17.399999999999999" thickBot="1" x14ac:dyDescent="0.45">
      <c r="A27" s="16">
        <v>26</v>
      </c>
      <c r="B27" s="17">
        <v>45561</v>
      </c>
      <c r="C27" s="17" t="str">
        <f>TEXT(sentiment[[#This Row],[date]],"MMM-YYYY")</f>
        <v>Sep-2024</v>
      </c>
      <c r="D27" s="18" t="s">
        <v>18</v>
      </c>
      <c r="E27" s="18" t="s">
        <v>15</v>
      </c>
      <c r="F27" s="18" t="s">
        <v>24</v>
      </c>
      <c r="G27" s="18">
        <v>1</v>
      </c>
      <c r="H27" s="19" t="s">
        <v>20</v>
      </c>
    </row>
    <row r="28" spans="1:8" ht="17.399999999999999" thickBot="1" x14ac:dyDescent="0.45">
      <c r="A28" s="16">
        <v>27</v>
      </c>
      <c r="B28" s="17">
        <v>45946</v>
      </c>
      <c r="C28" s="17" t="str">
        <f>TEXT(sentiment[[#This Row],[date]],"MMM-YYYY")</f>
        <v>Oct-2025</v>
      </c>
      <c r="D28" s="18" t="s">
        <v>18</v>
      </c>
      <c r="E28" s="18" t="s">
        <v>11</v>
      </c>
      <c r="F28" s="18" t="s">
        <v>16</v>
      </c>
      <c r="G28" s="18">
        <v>5</v>
      </c>
      <c r="H28" s="19" t="s">
        <v>13</v>
      </c>
    </row>
    <row r="29" spans="1:8" ht="17.399999999999999" thickBot="1" x14ac:dyDescent="0.45">
      <c r="A29" s="16">
        <v>28</v>
      </c>
      <c r="B29" s="17">
        <v>45457</v>
      </c>
      <c r="C29" s="17" t="str">
        <f>TEXT(sentiment[[#This Row],[date]],"MMM-YYYY")</f>
        <v>Jun-2024</v>
      </c>
      <c r="D29" s="18" t="s">
        <v>18</v>
      </c>
      <c r="E29" s="18" t="s">
        <v>11</v>
      </c>
      <c r="F29" s="18" t="s">
        <v>29</v>
      </c>
      <c r="G29" s="18">
        <v>5</v>
      </c>
      <c r="H29" s="19" t="s">
        <v>13</v>
      </c>
    </row>
    <row r="30" spans="1:8" ht="17.399999999999999" thickBot="1" x14ac:dyDescent="0.45">
      <c r="A30" s="16">
        <v>29</v>
      </c>
      <c r="B30" s="17">
        <v>45792</v>
      </c>
      <c r="C30" s="17" t="str">
        <f>TEXT(sentiment[[#This Row],[date]],"MMM-YYYY")</f>
        <v>May-2025</v>
      </c>
      <c r="D30" s="18" t="s">
        <v>14</v>
      </c>
      <c r="E30" s="18" t="s">
        <v>15</v>
      </c>
      <c r="F30" s="18" t="s">
        <v>31</v>
      </c>
      <c r="G30" s="18">
        <v>4</v>
      </c>
      <c r="H30" s="19" t="s">
        <v>10</v>
      </c>
    </row>
    <row r="31" spans="1:8" ht="17.399999999999999" thickBot="1" x14ac:dyDescent="0.45">
      <c r="A31" s="16">
        <v>30</v>
      </c>
      <c r="B31" s="17">
        <v>45351</v>
      </c>
      <c r="C31" s="17" t="str">
        <f>TEXT(sentiment[[#This Row],[date]],"MMM-YYYY")</f>
        <v>Feb-2024</v>
      </c>
      <c r="D31" s="18" t="s">
        <v>17</v>
      </c>
      <c r="E31" s="18" t="s">
        <v>11</v>
      </c>
      <c r="F31" s="18" t="s">
        <v>19</v>
      </c>
      <c r="G31" s="18">
        <v>1</v>
      </c>
      <c r="H31" s="19" t="s">
        <v>20</v>
      </c>
    </row>
    <row r="32" spans="1:8" ht="17.399999999999999" thickBot="1" x14ac:dyDescent="0.45">
      <c r="A32" s="16">
        <v>31</v>
      </c>
      <c r="B32" s="17">
        <v>45362</v>
      </c>
      <c r="C32" s="17" t="str">
        <f>TEXT(sentiment[[#This Row],[date]],"MMM-YYYY")</f>
        <v>Mar-2024</v>
      </c>
      <c r="D32" s="18" t="s">
        <v>26</v>
      </c>
      <c r="E32" s="18" t="s">
        <v>11</v>
      </c>
      <c r="F32" s="18" t="s">
        <v>16</v>
      </c>
      <c r="G32" s="18">
        <v>5</v>
      </c>
      <c r="H32" s="19" t="s">
        <v>13</v>
      </c>
    </row>
    <row r="33" spans="1:8" ht="17.399999999999999" thickBot="1" x14ac:dyDescent="0.45">
      <c r="A33" s="16">
        <v>32</v>
      </c>
      <c r="B33" s="17">
        <v>45854</v>
      </c>
      <c r="C33" s="17" t="str">
        <f>TEXT(sentiment[[#This Row],[date]],"MMM-YYYY")</f>
        <v>Jul-2025</v>
      </c>
      <c r="D33" s="18" t="s">
        <v>17</v>
      </c>
      <c r="E33" s="18" t="s">
        <v>8</v>
      </c>
      <c r="F33" s="18" t="s">
        <v>12</v>
      </c>
      <c r="G33" s="18">
        <v>5</v>
      </c>
      <c r="H33" s="19" t="s">
        <v>13</v>
      </c>
    </row>
    <row r="34" spans="1:8" ht="17.399999999999999" thickBot="1" x14ac:dyDescent="0.45">
      <c r="A34" s="16">
        <v>33</v>
      </c>
      <c r="B34" s="17">
        <v>45508</v>
      </c>
      <c r="C34" s="17" t="str">
        <f>TEXT(sentiment[[#This Row],[date]],"MMM-YYYY")</f>
        <v>Aug-2024</v>
      </c>
      <c r="D34" s="18" t="s">
        <v>18</v>
      </c>
      <c r="E34" s="18" t="s">
        <v>11</v>
      </c>
      <c r="F34" s="18" t="s">
        <v>9</v>
      </c>
      <c r="G34" s="18">
        <v>4</v>
      </c>
      <c r="H34" s="19" t="s">
        <v>10</v>
      </c>
    </row>
    <row r="35" spans="1:8" ht="17.399999999999999" thickBot="1" x14ac:dyDescent="0.45">
      <c r="A35" s="16">
        <v>34</v>
      </c>
      <c r="B35" s="17">
        <v>45700</v>
      </c>
      <c r="C35" s="17" t="str">
        <f>TEXT(sentiment[[#This Row],[date]],"MMM-YYYY")</f>
        <v>Feb-2025</v>
      </c>
      <c r="D35" s="18" t="s">
        <v>7</v>
      </c>
      <c r="E35" s="18" t="s">
        <v>11</v>
      </c>
      <c r="F35" s="18" t="s">
        <v>31</v>
      </c>
      <c r="G35" s="18">
        <v>4</v>
      </c>
      <c r="H35" s="19" t="s">
        <v>10</v>
      </c>
    </row>
    <row r="36" spans="1:8" ht="17.399999999999999" thickBot="1" x14ac:dyDescent="0.45">
      <c r="A36" s="16">
        <v>35</v>
      </c>
      <c r="B36" s="17">
        <v>45415</v>
      </c>
      <c r="C36" s="17" t="str">
        <f>TEXT(sentiment[[#This Row],[date]],"MMM-YYYY")</f>
        <v>May-2024</v>
      </c>
      <c r="D36" s="18" t="s">
        <v>17</v>
      </c>
      <c r="E36" s="18" t="s">
        <v>15</v>
      </c>
      <c r="F36" s="18" t="s">
        <v>19</v>
      </c>
      <c r="G36" s="18">
        <v>2</v>
      </c>
      <c r="H36" s="19" t="s">
        <v>20</v>
      </c>
    </row>
    <row r="37" spans="1:8" ht="17.399999999999999" thickBot="1" x14ac:dyDescent="0.45">
      <c r="A37" s="16">
        <v>36</v>
      </c>
      <c r="B37" s="17">
        <v>45894</v>
      </c>
      <c r="C37" s="17" t="str">
        <f>TEXT(sentiment[[#This Row],[date]],"MMM-YYYY")</f>
        <v>Aug-2025</v>
      </c>
      <c r="D37" s="18" t="s">
        <v>18</v>
      </c>
      <c r="E37" s="18" t="s">
        <v>15</v>
      </c>
      <c r="F37" s="18" t="s">
        <v>24</v>
      </c>
      <c r="G37" s="18">
        <v>1</v>
      </c>
      <c r="H37" s="19" t="s">
        <v>20</v>
      </c>
    </row>
    <row r="38" spans="1:8" ht="17.399999999999999" thickBot="1" x14ac:dyDescent="0.45">
      <c r="A38" s="16">
        <v>37</v>
      </c>
      <c r="B38" s="17">
        <v>45364</v>
      </c>
      <c r="C38" s="17" t="str">
        <f>TEXT(sentiment[[#This Row],[date]],"MMM-YYYY")</f>
        <v>Mar-2024</v>
      </c>
      <c r="D38" s="18" t="s">
        <v>7</v>
      </c>
      <c r="E38" s="18" t="s">
        <v>11</v>
      </c>
      <c r="F38" s="18" t="s">
        <v>29</v>
      </c>
      <c r="G38" s="18">
        <v>4</v>
      </c>
      <c r="H38" s="19" t="s">
        <v>13</v>
      </c>
    </row>
    <row r="39" spans="1:8" ht="17.399999999999999" thickBot="1" x14ac:dyDescent="0.45">
      <c r="A39" s="16">
        <v>38</v>
      </c>
      <c r="B39" s="17">
        <v>45324</v>
      </c>
      <c r="C39" s="17" t="str">
        <f>TEXT(sentiment[[#This Row],[date]],"MMM-YYYY")</f>
        <v>Feb-2024</v>
      </c>
      <c r="D39" s="18" t="s">
        <v>26</v>
      </c>
      <c r="E39" s="18" t="s">
        <v>8</v>
      </c>
      <c r="F39" s="18" t="s">
        <v>29</v>
      </c>
      <c r="G39" s="18">
        <v>4</v>
      </c>
      <c r="H39" s="19" t="s">
        <v>13</v>
      </c>
    </row>
    <row r="40" spans="1:8" ht="17.399999999999999" thickBot="1" x14ac:dyDescent="0.45">
      <c r="A40" s="16">
        <v>39</v>
      </c>
      <c r="B40" s="17">
        <v>45577</v>
      </c>
      <c r="C40" s="17" t="str">
        <f>TEXT(sentiment[[#This Row],[date]],"MMM-YYYY")</f>
        <v>Oct-2024</v>
      </c>
      <c r="D40" s="18" t="s">
        <v>7</v>
      </c>
      <c r="E40" s="18" t="s">
        <v>8</v>
      </c>
      <c r="F40" s="18" t="s">
        <v>9</v>
      </c>
      <c r="G40" s="18">
        <v>3</v>
      </c>
      <c r="H40" s="19" t="s">
        <v>10</v>
      </c>
    </row>
    <row r="41" spans="1:8" ht="17.399999999999999" thickBot="1" x14ac:dyDescent="0.45">
      <c r="A41" s="16">
        <v>40</v>
      </c>
      <c r="B41" s="17">
        <v>45876</v>
      </c>
      <c r="C41" s="17" t="str">
        <f>TEXT(sentiment[[#This Row],[date]],"MMM-YYYY")</f>
        <v>Aug-2025</v>
      </c>
      <c r="D41" s="18" t="s">
        <v>18</v>
      </c>
      <c r="E41" s="18" t="s">
        <v>8</v>
      </c>
      <c r="F41" s="18" t="s">
        <v>9</v>
      </c>
      <c r="G41" s="18">
        <v>3</v>
      </c>
      <c r="H41" s="19" t="s">
        <v>10</v>
      </c>
    </row>
    <row r="42" spans="1:8" ht="17.399999999999999" thickBot="1" x14ac:dyDescent="0.45">
      <c r="A42" s="16">
        <v>41</v>
      </c>
      <c r="B42" s="17">
        <v>45486</v>
      </c>
      <c r="C42" s="17" t="str">
        <f>TEXT(sentiment[[#This Row],[date]],"MMM-YYYY")</f>
        <v>Jul-2024</v>
      </c>
      <c r="D42" s="18" t="s">
        <v>14</v>
      </c>
      <c r="E42" s="18" t="s">
        <v>15</v>
      </c>
      <c r="F42" s="18" t="s">
        <v>27</v>
      </c>
      <c r="G42" s="18">
        <v>2</v>
      </c>
      <c r="H42" s="19" t="s">
        <v>20</v>
      </c>
    </row>
    <row r="43" spans="1:8" ht="17.399999999999999" thickBot="1" x14ac:dyDescent="0.45">
      <c r="A43" s="16">
        <v>42</v>
      </c>
      <c r="B43" s="17">
        <v>45712</v>
      </c>
      <c r="C43" s="17" t="str">
        <f>TEXT(sentiment[[#This Row],[date]],"MMM-YYYY")</f>
        <v>Feb-2025</v>
      </c>
      <c r="D43" s="18" t="s">
        <v>22</v>
      </c>
      <c r="E43" s="18" t="s">
        <v>11</v>
      </c>
      <c r="F43" s="18" t="s">
        <v>19</v>
      </c>
      <c r="G43" s="18">
        <v>2</v>
      </c>
      <c r="H43" s="19" t="s">
        <v>20</v>
      </c>
    </row>
    <row r="44" spans="1:8" ht="17.399999999999999" thickBot="1" x14ac:dyDescent="0.45">
      <c r="A44" s="16">
        <v>43</v>
      </c>
      <c r="B44" s="17">
        <v>45354</v>
      </c>
      <c r="C44" s="17" t="str">
        <f>TEXT(sentiment[[#This Row],[date]],"MMM-YYYY")</f>
        <v>Mar-2024</v>
      </c>
      <c r="D44" s="18" t="s">
        <v>22</v>
      </c>
      <c r="E44" s="18" t="s">
        <v>11</v>
      </c>
      <c r="F44" s="18" t="s">
        <v>31</v>
      </c>
      <c r="G44" s="18">
        <v>3</v>
      </c>
      <c r="H44" s="19" t="s">
        <v>10</v>
      </c>
    </row>
    <row r="45" spans="1:8" ht="17.399999999999999" thickBot="1" x14ac:dyDescent="0.45">
      <c r="A45" s="16">
        <v>44</v>
      </c>
      <c r="B45" s="17">
        <v>45488</v>
      </c>
      <c r="C45" s="17" t="str">
        <f>TEXT(sentiment[[#This Row],[date]],"MMM-YYYY")</f>
        <v>Jul-2024</v>
      </c>
      <c r="D45" s="18" t="s">
        <v>17</v>
      </c>
      <c r="E45" s="18" t="s">
        <v>11</v>
      </c>
      <c r="F45" s="18" t="s">
        <v>32</v>
      </c>
      <c r="G45" s="18">
        <v>4</v>
      </c>
      <c r="H45" s="19" t="s">
        <v>13</v>
      </c>
    </row>
    <row r="46" spans="1:8" ht="17.399999999999999" thickBot="1" x14ac:dyDescent="0.45">
      <c r="A46" s="16">
        <v>45</v>
      </c>
      <c r="B46" s="17">
        <v>45479</v>
      </c>
      <c r="C46" s="17" t="str">
        <f>TEXT(sentiment[[#This Row],[date]],"MMM-YYYY")</f>
        <v>Jul-2024</v>
      </c>
      <c r="D46" s="18" t="s">
        <v>21</v>
      </c>
      <c r="E46" s="18" t="s">
        <v>8</v>
      </c>
      <c r="F46" s="18" t="s">
        <v>16</v>
      </c>
      <c r="G46" s="18">
        <v>5</v>
      </c>
      <c r="H46" s="19" t="s">
        <v>13</v>
      </c>
    </row>
    <row r="47" spans="1:8" ht="17.399999999999999" thickBot="1" x14ac:dyDescent="0.45">
      <c r="A47" s="16">
        <v>46</v>
      </c>
      <c r="B47" s="17">
        <v>45855</v>
      </c>
      <c r="C47" s="17" t="str">
        <f>TEXT(sentiment[[#This Row],[date]],"MMM-YYYY")</f>
        <v>Jul-2025</v>
      </c>
      <c r="D47" s="18" t="s">
        <v>14</v>
      </c>
      <c r="E47" s="18" t="s">
        <v>15</v>
      </c>
      <c r="F47" s="18" t="s">
        <v>12</v>
      </c>
      <c r="G47" s="18">
        <v>5</v>
      </c>
      <c r="H47" s="19" t="s">
        <v>13</v>
      </c>
    </row>
    <row r="48" spans="1:8" ht="17.399999999999999" thickBot="1" x14ac:dyDescent="0.45">
      <c r="A48" s="16">
        <v>47</v>
      </c>
      <c r="B48" s="17">
        <v>45534</v>
      </c>
      <c r="C48" s="17" t="str">
        <f>TEXT(sentiment[[#This Row],[date]],"MMM-YYYY")</f>
        <v>Aug-2024</v>
      </c>
      <c r="D48" s="18" t="s">
        <v>17</v>
      </c>
      <c r="E48" s="18" t="s">
        <v>8</v>
      </c>
      <c r="F48" s="18" t="s">
        <v>32</v>
      </c>
      <c r="G48" s="18">
        <v>4</v>
      </c>
      <c r="H48" s="19" t="s">
        <v>13</v>
      </c>
    </row>
    <row r="49" spans="1:8" ht="17.399999999999999" thickBot="1" x14ac:dyDescent="0.45">
      <c r="A49" s="16">
        <v>48</v>
      </c>
      <c r="B49" s="17">
        <v>45702</v>
      </c>
      <c r="C49" s="17" t="str">
        <f>TEXT(sentiment[[#This Row],[date]],"MMM-YYYY")</f>
        <v>Feb-2025</v>
      </c>
      <c r="D49" s="18" t="s">
        <v>14</v>
      </c>
      <c r="E49" s="18" t="s">
        <v>15</v>
      </c>
      <c r="F49" s="18" t="s">
        <v>27</v>
      </c>
      <c r="G49" s="18">
        <v>1</v>
      </c>
      <c r="H49" s="19" t="s">
        <v>20</v>
      </c>
    </row>
    <row r="50" spans="1:8" ht="17.399999999999999" thickBot="1" x14ac:dyDescent="0.45">
      <c r="A50" s="16">
        <v>49</v>
      </c>
      <c r="B50" s="17">
        <v>45563</v>
      </c>
      <c r="C50" s="17" t="str">
        <f>TEXT(sentiment[[#This Row],[date]],"MMM-YYYY")</f>
        <v>Sep-2024</v>
      </c>
      <c r="D50" s="18" t="s">
        <v>26</v>
      </c>
      <c r="E50" s="18" t="s">
        <v>8</v>
      </c>
      <c r="F50" s="18" t="s">
        <v>28</v>
      </c>
      <c r="G50" s="18">
        <v>5</v>
      </c>
      <c r="H50" s="19" t="s">
        <v>13</v>
      </c>
    </row>
    <row r="51" spans="1:8" ht="17.399999999999999" thickBot="1" x14ac:dyDescent="0.45">
      <c r="A51" s="16">
        <v>50</v>
      </c>
      <c r="B51" s="17">
        <v>45450</v>
      </c>
      <c r="C51" s="17" t="str">
        <f>TEXT(sentiment[[#This Row],[date]],"MMM-YYYY")</f>
        <v>Jun-2024</v>
      </c>
      <c r="D51" s="18" t="s">
        <v>17</v>
      </c>
      <c r="E51" s="18" t="s">
        <v>8</v>
      </c>
      <c r="F51" s="18" t="s">
        <v>25</v>
      </c>
      <c r="G51" s="18">
        <v>2</v>
      </c>
      <c r="H51" s="19" t="s">
        <v>20</v>
      </c>
    </row>
    <row r="52" spans="1:8" ht="17.399999999999999" thickBot="1" x14ac:dyDescent="0.45">
      <c r="A52" s="16">
        <v>51</v>
      </c>
      <c r="B52" s="17">
        <v>45613</v>
      </c>
      <c r="C52" s="17" t="str">
        <f>TEXT(sentiment[[#This Row],[date]],"MMM-YYYY")</f>
        <v>Nov-2024</v>
      </c>
      <c r="D52" s="18" t="s">
        <v>14</v>
      </c>
      <c r="E52" s="18" t="s">
        <v>15</v>
      </c>
      <c r="F52" s="18" t="s">
        <v>12</v>
      </c>
      <c r="G52" s="18">
        <v>4</v>
      </c>
      <c r="H52" s="19" t="s">
        <v>13</v>
      </c>
    </row>
    <row r="53" spans="1:8" ht="17.399999999999999" thickBot="1" x14ac:dyDescent="0.45">
      <c r="A53" s="16">
        <v>52</v>
      </c>
      <c r="B53" s="17">
        <v>45350</v>
      </c>
      <c r="C53" s="17" t="str">
        <f>TEXT(sentiment[[#This Row],[date]],"MMM-YYYY")</f>
        <v>Feb-2024</v>
      </c>
      <c r="D53" s="18" t="s">
        <v>18</v>
      </c>
      <c r="E53" s="18" t="s">
        <v>15</v>
      </c>
      <c r="F53" s="18" t="s">
        <v>25</v>
      </c>
      <c r="G53" s="18">
        <v>1</v>
      </c>
      <c r="H53" s="19" t="s">
        <v>20</v>
      </c>
    </row>
    <row r="54" spans="1:8" ht="17.399999999999999" thickBot="1" x14ac:dyDescent="0.45">
      <c r="A54" s="16">
        <v>53</v>
      </c>
      <c r="B54" s="17">
        <v>45983</v>
      </c>
      <c r="C54" s="17" t="str">
        <f>TEXT(sentiment[[#This Row],[date]],"MMM-YYYY")</f>
        <v>Nov-2025</v>
      </c>
      <c r="D54" s="18" t="s">
        <v>26</v>
      </c>
      <c r="E54" s="18" t="s">
        <v>15</v>
      </c>
      <c r="F54" s="18" t="s">
        <v>32</v>
      </c>
      <c r="G54" s="18">
        <v>4</v>
      </c>
      <c r="H54" s="19" t="s">
        <v>13</v>
      </c>
    </row>
    <row r="55" spans="1:8" ht="17.399999999999999" thickBot="1" x14ac:dyDescent="0.45">
      <c r="A55" s="16">
        <v>54</v>
      </c>
      <c r="B55" s="17">
        <v>45884</v>
      </c>
      <c r="C55" s="17" t="str">
        <f>TEXT(sentiment[[#This Row],[date]],"MMM-YYYY")</f>
        <v>Aug-2025</v>
      </c>
      <c r="D55" s="18" t="s">
        <v>18</v>
      </c>
      <c r="E55" s="18" t="s">
        <v>15</v>
      </c>
      <c r="F55" s="18" t="s">
        <v>12</v>
      </c>
      <c r="G55" s="18">
        <v>4</v>
      </c>
      <c r="H55" s="19" t="s">
        <v>13</v>
      </c>
    </row>
    <row r="56" spans="1:8" ht="17.399999999999999" thickBot="1" x14ac:dyDescent="0.45">
      <c r="A56" s="16">
        <v>55</v>
      </c>
      <c r="B56" s="17">
        <v>45965</v>
      </c>
      <c r="C56" s="17" t="str">
        <f>TEXT(sentiment[[#This Row],[date]],"MMM-YYYY")</f>
        <v>Nov-2025</v>
      </c>
      <c r="D56" s="18" t="s">
        <v>18</v>
      </c>
      <c r="E56" s="18" t="s">
        <v>11</v>
      </c>
      <c r="F56" s="18" t="s">
        <v>12</v>
      </c>
      <c r="G56" s="18">
        <v>5</v>
      </c>
      <c r="H56" s="19" t="s">
        <v>13</v>
      </c>
    </row>
    <row r="57" spans="1:8" ht="17.399999999999999" thickBot="1" x14ac:dyDescent="0.45">
      <c r="A57" s="16">
        <v>56</v>
      </c>
      <c r="B57" s="17">
        <v>45501</v>
      </c>
      <c r="C57" s="17" t="str">
        <f>TEXT(sentiment[[#This Row],[date]],"MMM-YYYY")</f>
        <v>Jul-2024</v>
      </c>
      <c r="D57" s="18" t="s">
        <v>7</v>
      </c>
      <c r="E57" s="18" t="s">
        <v>11</v>
      </c>
      <c r="F57" s="18" t="s">
        <v>23</v>
      </c>
      <c r="G57" s="18">
        <v>2</v>
      </c>
      <c r="H57" s="19" t="s">
        <v>20</v>
      </c>
    </row>
    <row r="58" spans="1:8" ht="17.399999999999999" thickBot="1" x14ac:dyDescent="0.45">
      <c r="A58" s="16">
        <v>57</v>
      </c>
      <c r="B58" s="17">
        <v>45697</v>
      </c>
      <c r="C58" s="17" t="str">
        <f>TEXT(sentiment[[#This Row],[date]],"MMM-YYYY")</f>
        <v>Feb-2025</v>
      </c>
      <c r="D58" s="18" t="s">
        <v>17</v>
      </c>
      <c r="E58" s="18" t="s">
        <v>11</v>
      </c>
      <c r="F58" s="18" t="s">
        <v>28</v>
      </c>
      <c r="G58" s="18">
        <v>5</v>
      </c>
      <c r="H58" s="19" t="s">
        <v>13</v>
      </c>
    </row>
    <row r="59" spans="1:8" ht="17.399999999999999" thickBot="1" x14ac:dyDescent="0.45">
      <c r="A59" s="16">
        <v>58</v>
      </c>
      <c r="B59" s="17">
        <v>45366</v>
      </c>
      <c r="C59" s="17" t="str">
        <f>TEXT(sentiment[[#This Row],[date]],"MMM-YYYY")</f>
        <v>Mar-2024</v>
      </c>
      <c r="D59" s="18" t="s">
        <v>14</v>
      </c>
      <c r="E59" s="18" t="s">
        <v>8</v>
      </c>
      <c r="F59" s="18" t="s">
        <v>24</v>
      </c>
      <c r="G59" s="18">
        <v>2</v>
      </c>
      <c r="H59" s="19" t="s">
        <v>20</v>
      </c>
    </row>
    <row r="60" spans="1:8" ht="17.399999999999999" thickBot="1" x14ac:dyDescent="0.45">
      <c r="A60" s="16">
        <v>59</v>
      </c>
      <c r="B60" s="17">
        <v>45367</v>
      </c>
      <c r="C60" s="17" t="str">
        <f>TEXT(sentiment[[#This Row],[date]],"MMM-YYYY")</f>
        <v>Mar-2024</v>
      </c>
      <c r="D60" s="18" t="s">
        <v>18</v>
      </c>
      <c r="E60" s="18" t="s">
        <v>15</v>
      </c>
      <c r="F60" s="18" t="s">
        <v>30</v>
      </c>
      <c r="G60" s="18">
        <v>3</v>
      </c>
      <c r="H60" s="19" t="s">
        <v>10</v>
      </c>
    </row>
    <row r="61" spans="1:8" ht="17.399999999999999" thickBot="1" x14ac:dyDescent="0.45">
      <c r="A61" s="16">
        <v>60</v>
      </c>
      <c r="B61" s="17">
        <v>45649</v>
      </c>
      <c r="C61" s="17" t="str">
        <f>TEXT(sentiment[[#This Row],[date]],"MMM-YYYY")</f>
        <v>Dec-2024</v>
      </c>
      <c r="D61" s="18" t="s">
        <v>14</v>
      </c>
      <c r="E61" s="18" t="s">
        <v>15</v>
      </c>
      <c r="F61" s="18" t="s">
        <v>23</v>
      </c>
      <c r="G61" s="18">
        <v>1</v>
      </c>
      <c r="H61" s="19" t="s">
        <v>20</v>
      </c>
    </row>
    <row r="62" spans="1:8" ht="17.399999999999999" thickBot="1" x14ac:dyDescent="0.45">
      <c r="A62" s="16">
        <v>61</v>
      </c>
      <c r="B62" s="17">
        <v>45740</v>
      </c>
      <c r="C62" s="17" t="str">
        <f>TEXT(sentiment[[#This Row],[date]],"MMM-YYYY")</f>
        <v>Mar-2025</v>
      </c>
      <c r="D62" s="18" t="s">
        <v>26</v>
      </c>
      <c r="E62" s="18" t="s">
        <v>11</v>
      </c>
      <c r="F62" s="18" t="s">
        <v>23</v>
      </c>
      <c r="G62" s="18">
        <v>1</v>
      </c>
      <c r="H62" s="19" t="s">
        <v>20</v>
      </c>
    </row>
    <row r="63" spans="1:8" ht="17.399999999999999" thickBot="1" x14ac:dyDescent="0.45">
      <c r="A63" s="16">
        <v>62</v>
      </c>
      <c r="B63" s="17">
        <v>45975</v>
      </c>
      <c r="C63" s="17" t="str">
        <f>TEXT(sentiment[[#This Row],[date]],"MMM-YYYY")</f>
        <v>Nov-2025</v>
      </c>
      <c r="D63" s="18" t="s">
        <v>26</v>
      </c>
      <c r="E63" s="18" t="s">
        <v>11</v>
      </c>
      <c r="F63" s="18" t="s">
        <v>31</v>
      </c>
      <c r="G63" s="18">
        <v>3</v>
      </c>
      <c r="H63" s="19" t="s">
        <v>10</v>
      </c>
    </row>
    <row r="64" spans="1:8" ht="17.399999999999999" thickBot="1" x14ac:dyDescent="0.45">
      <c r="A64" s="16">
        <v>63</v>
      </c>
      <c r="B64" s="17">
        <v>45429</v>
      </c>
      <c r="C64" s="17" t="str">
        <f>TEXT(sentiment[[#This Row],[date]],"MMM-YYYY")</f>
        <v>May-2024</v>
      </c>
      <c r="D64" s="18" t="s">
        <v>21</v>
      </c>
      <c r="E64" s="18" t="s">
        <v>15</v>
      </c>
      <c r="F64" s="18" t="s">
        <v>33</v>
      </c>
      <c r="G64" s="18">
        <v>3</v>
      </c>
      <c r="H64" s="19" t="s">
        <v>10</v>
      </c>
    </row>
    <row r="65" spans="1:8" ht="17.399999999999999" thickBot="1" x14ac:dyDescent="0.45">
      <c r="A65" s="16">
        <v>64</v>
      </c>
      <c r="B65" s="17">
        <v>45570</v>
      </c>
      <c r="C65" s="17" t="str">
        <f>TEXT(sentiment[[#This Row],[date]],"MMM-YYYY")</f>
        <v>Oct-2024</v>
      </c>
      <c r="D65" s="18" t="s">
        <v>21</v>
      </c>
      <c r="E65" s="18" t="s">
        <v>11</v>
      </c>
      <c r="F65" s="18" t="s">
        <v>9</v>
      </c>
      <c r="G65" s="18">
        <v>3</v>
      </c>
      <c r="H65" s="19" t="s">
        <v>10</v>
      </c>
    </row>
    <row r="66" spans="1:8" ht="17.399999999999999" thickBot="1" x14ac:dyDescent="0.45">
      <c r="A66" s="16">
        <v>65</v>
      </c>
      <c r="B66" s="17">
        <v>45500</v>
      </c>
      <c r="C66" s="17" t="str">
        <f>TEXT(sentiment[[#This Row],[date]],"MMM-YYYY")</f>
        <v>Jul-2024</v>
      </c>
      <c r="D66" s="18" t="s">
        <v>7</v>
      </c>
      <c r="E66" s="18" t="s">
        <v>11</v>
      </c>
      <c r="F66" s="18" t="s">
        <v>31</v>
      </c>
      <c r="G66" s="18">
        <v>4</v>
      </c>
      <c r="H66" s="19" t="s">
        <v>10</v>
      </c>
    </row>
    <row r="67" spans="1:8" ht="17.399999999999999" thickBot="1" x14ac:dyDescent="0.45">
      <c r="A67" s="16">
        <v>66</v>
      </c>
      <c r="B67" s="17">
        <v>45549</v>
      </c>
      <c r="C67" s="17" t="str">
        <f>TEXT(sentiment[[#This Row],[date]],"MMM-YYYY")</f>
        <v>Sep-2024</v>
      </c>
      <c r="D67" s="18" t="s">
        <v>26</v>
      </c>
      <c r="E67" s="18" t="s">
        <v>15</v>
      </c>
      <c r="F67" s="18" t="s">
        <v>33</v>
      </c>
      <c r="G67" s="18">
        <v>4</v>
      </c>
      <c r="H67" s="19" t="s">
        <v>10</v>
      </c>
    </row>
    <row r="68" spans="1:8" ht="17.399999999999999" thickBot="1" x14ac:dyDescent="0.45">
      <c r="A68" s="16">
        <v>67</v>
      </c>
      <c r="B68" s="17">
        <v>45575</v>
      </c>
      <c r="C68" s="17" t="str">
        <f>TEXT(sentiment[[#This Row],[date]],"MMM-YYYY")</f>
        <v>Oct-2024</v>
      </c>
      <c r="D68" s="18" t="s">
        <v>14</v>
      </c>
      <c r="E68" s="18" t="s">
        <v>15</v>
      </c>
      <c r="F68" s="18" t="s">
        <v>31</v>
      </c>
      <c r="G68" s="18">
        <v>4</v>
      </c>
      <c r="H68" s="19" t="s">
        <v>10</v>
      </c>
    </row>
    <row r="69" spans="1:8" ht="17.399999999999999" thickBot="1" x14ac:dyDescent="0.45">
      <c r="A69" s="16">
        <v>68</v>
      </c>
      <c r="B69" s="17">
        <v>45457</v>
      </c>
      <c r="C69" s="17" t="str">
        <f>TEXT(sentiment[[#This Row],[date]],"MMM-YYYY")</f>
        <v>Jun-2024</v>
      </c>
      <c r="D69" s="18" t="s">
        <v>7</v>
      </c>
      <c r="E69" s="18" t="s">
        <v>8</v>
      </c>
      <c r="F69" s="18" t="s">
        <v>12</v>
      </c>
      <c r="G69" s="18">
        <v>5</v>
      </c>
      <c r="H69" s="19" t="s">
        <v>13</v>
      </c>
    </row>
    <row r="70" spans="1:8" ht="17.399999999999999" thickBot="1" x14ac:dyDescent="0.45">
      <c r="A70" s="16">
        <v>69</v>
      </c>
      <c r="B70" s="17">
        <v>45866</v>
      </c>
      <c r="C70" s="17" t="str">
        <f>TEXT(sentiment[[#This Row],[date]],"MMM-YYYY")</f>
        <v>Jul-2025</v>
      </c>
      <c r="D70" s="18" t="s">
        <v>14</v>
      </c>
      <c r="E70" s="18" t="s">
        <v>15</v>
      </c>
      <c r="F70" s="18" t="s">
        <v>33</v>
      </c>
      <c r="G70" s="18">
        <v>4</v>
      </c>
      <c r="H70" s="19" t="s">
        <v>10</v>
      </c>
    </row>
    <row r="71" spans="1:8" ht="17.399999999999999" thickBot="1" x14ac:dyDescent="0.45">
      <c r="A71" s="16">
        <v>70</v>
      </c>
      <c r="B71" s="17">
        <v>45850</v>
      </c>
      <c r="C71" s="17" t="str">
        <f>TEXT(sentiment[[#This Row],[date]],"MMM-YYYY")</f>
        <v>Jul-2025</v>
      </c>
      <c r="D71" s="18" t="s">
        <v>14</v>
      </c>
      <c r="E71" s="18" t="s">
        <v>8</v>
      </c>
      <c r="F71" s="18" t="s">
        <v>30</v>
      </c>
      <c r="G71" s="18">
        <v>3</v>
      </c>
      <c r="H71" s="19" t="s">
        <v>10</v>
      </c>
    </row>
    <row r="72" spans="1:8" ht="17.399999999999999" thickBot="1" x14ac:dyDescent="0.45">
      <c r="A72" s="16">
        <v>71</v>
      </c>
      <c r="B72" s="17">
        <v>45732</v>
      </c>
      <c r="C72" s="17" t="str">
        <f>TEXT(sentiment[[#This Row],[date]],"MMM-YYYY")</f>
        <v>Mar-2025</v>
      </c>
      <c r="D72" s="18" t="s">
        <v>17</v>
      </c>
      <c r="E72" s="18" t="s">
        <v>15</v>
      </c>
      <c r="F72" s="18" t="s">
        <v>31</v>
      </c>
      <c r="G72" s="18">
        <v>3</v>
      </c>
      <c r="H72" s="19" t="s">
        <v>10</v>
      </c>
    </row>
    <row r="73" spans="1:8" ht="17.399999999999999" thickBot="1" x14ac:dyDescent="0.45">
      <c r="A73" s="16">
        <v>72</v>
      </c>
      <c r="B73" s="17">
        <v>45658</v>
      </c>
      <c r="C73" s="17" t="str">
        <f>TEXT(sentiment[[#This Row],[date]],"MMM-YYYY")</f>
        <v>Jan-2025</v>
      </c>
      <c r="D73" s="18" t="s">
        <v>17</v>
      </c>
      <c r="E73" s="18" t="s">
        <v>11</v>
      </c>
      <c r="F73" s="18" t="s">
        <v>25</v>
      </c>
      <c r="G73" s="18">
        <v>1</v>
      </c>
      <c r="H73" s="19" t="s">
        <v>20</v>
      </c>
    </row>
    <row r="74" spans="1:8" ht="17.399999999999999" thickBot="1" x14ac:dyDescent="0.45">
      <c r="A74" s="16">
        <v>73</v>
      </c>
      <c r="B74" s="17">
        <v>45654</v>
      </c>
      <c r="C74" s="17" t="str">
        <f>TEXT(sentiment[[#This Row],[date]],"MMM-YYYY")</f>
        <v>Dec-2024</v>
      </c>
      <c r="D74" s="18" t="s">
        <v>26</v>
      </c>
      <c r="E74" s="18" t="s">
        <v>11</v>
      </c>
      <c r="F74" s="18" t="s">
        <v>34</v>
      </c>
      <c r="G74" s="18">
        <v>3</v>
      </c>
      <c r="H74" s="19" t="s">
        <v>10</v>
      </c>
    </row>
    <row r="75" spans="1:8" ht="17.399999999999999" thickBot="1" x14ac:dyDescent="0.45">
      <c r="A75" s="16">
        <v>74</v>
      </c>
      <c r="B75" s="17">
        <v>45534</v>
      </c>
      <c r="C75" s="17" t="str">
        <f>TEXT(sentiment[[#This Row],[date]],"MMM-YYYY")</f>
        <v>Aug-2024</v>
      </c>
      <c r="D75" s="18" t="s">
        <v>26</v>
      </c>
      <c r="E75" s="18" t="s">
        <v>15</v>
      </c>
      <c r="F75" s="18" t="s">
        <v>9</v>
      </c>
      <c r="G75" s="18">
        <v>3</v>
      </c>
      <c r="H75" s="19" t="s">
        <v>10</v>
      </c>
    </row>
    <row r="76" spans="1:8" ht="17.399999999999999" thickBot="1" x14ac:dyDescent="0.45">
      <c r="A76" s="16">
        <v>75</v>
      </c>
      <c r="B76" s="17">
        <v>45475</v>
      </c>
      <c r="C76" s="17" t="str">
        <f>TEXT(sentiment[[#This Row],[date]],"MMM-YYYY")</f>
        <v>Jul-2024</v>
      </c>
      <c r="D76" s="18" t="s">
        <v>7</v>
      </c>
      <c r="E76" s="18" t="s">
        <v>8</v>
      </c>
      <c r="F76" s="18" t="s">
        <v>27</v>
      </c>
      <c r="G76" s="18">
        <v>1</v>
      </c>
      <c r="H76" s="19" t="s">
        <v>20</v>
      </c>
    </row>
    <row r="77" spans="1:8" ht="17.399999999999999" thickBot="1" x14ac:dyDescent="0.45">
      <c r="A77" s="16">
        <v>76</v>
      </c>
      <c r="B77" s="17">
        <v>45565</v>
      </c>
      <c r="C77" s="17" t="str">
        <f>TEXT(sentiment[[#This Row],[date]],"MMM-YYYY")</f>
        <v>Sep-2024</v>
      </c>
      <c r="D77" s="18" t="s">
        <v>17</v>
      </c>
      <c r="E77" s="18" t="s">
        <v>11</v>
      </c>
      <c r="F77" s="18" t="s">
        <v>33</v>
      </c>
      <c r="G77" s="18">
        <v>3</v>
      </c>
      <c r="H77" s="19" t="s">
        <v>10</v>
      </c>
    </row>
    <row r="78" spans="1:8" ht="17.399999999999999" thickBot="1" x14ac:dyDescent="0.45">
      <c r="A78" s="16">
        <v>77</v>
      </c>
      <c r="B78" s="17">
        <v>45773</v>
      </c>
      <c r="C78" s="17" t="str">
        <f>TEXT(sentiment[[#This Row],[date]],"MMM-YYYY")</f>
        <v>Apr-2025</v>
      </c>
      <c r="D78" s="18" t="s">
        <v>17</v>
      </c>
      <c r="E78" s="18" t="s">
        <v>15</v>
      </c>
      <c r="F78" s="18" t="s">
        <v>27</v>
      </c>
      <c r="G78" s="18">
        <v>1</v>
      </c>
      <c r="H78" s="19" t="s">
        <v>20</v>
      </c>
    </row>
    <row r="79" spans="1:8" ht="17.399999999999999" thickBot="1" x14ac:dyDescent="0.45">
      <c r="A79" s="16">
        <v>78</v>
      </c>
      <c r="B79" s="17">
        <v>45525</v>
      </c>
      <c r="C79" s="17" t="str">
        <f>TEXT(sentiment[[#This Row],[date]],"MMM-YYYY")</f>
        <v>Aug-2024</v>
      </c>
      <c r="D79" s="18" t="s">
        <v>17</v>
      </c>
      <c r="E79" s="18" t="s">
        <v>15</v>
      </c>
      <c r="F79" s="18" t="s">
        <v>25</v>
      </c>
      <c r="G79" s="18">
        <v>2</v>
      </c>
      <c r="H79" s="19" t="s">
        <v>20</v>
      </c>
    </row>
    <row r="80" spans="1:8" ht="17.399999999999999" thickBot="1" x14ac:dyDescent="0.45">
      <c r="A80" s="16">
        <v>79</v>
      </c>
      <c r="B80" s="17">
        <v>45577</v>
      </c>
      <c r="C80" s="17" t="str">
        <f>TEXT(sentiment[[#This Row],[date]],"MMM-YYYY")</f>
        <v>Oct-2024</v>
      </c>
      <c r="D80" s="18" t="s">
        <v>26</v>
      </c>
      <c r="E80" s="18" t="s">
        <v>15</v>
      </c>
      <c r="F80" s="18" t="s">
        <v>23</v>
      </c>
      <c r="G80" s="18">
        <v>2</v>
      </c>
      <c r="H80" s="19" t="s">
        <v>20</v>
      </c>
    </row>
    <row r="81" spans="1:8" ht="17.399999999999999" thickBot="1" x14ac:dyDescent="0.45">
      <c r="A81" s="16">
        <v>80</v>
      </c>
      <c r="B81" s="17">
        <v>45987</v>
      </c>
      <c r="C81" s="17" t="str">
        <f>TEXT(sentiment[[#This Row],[date]],"MMM-YYYY")</f>
        <v>Nov-2025</v>
      </c>
      <c r="D81" s="18" t="s">
        <v>26</v>
      </c>
      <c r="E81" s="18" t="s">
        <v>11</v>
      </c>
      <c r="F81" s="18" t="s">
        <v>23</v>
      </c>
      <c r="G81" s="18">
        <v>2</v>
      </c>
      <c r="H81" s="19" t="s">
        <v>20</v>
      </c>
    </row>
    <row r="82" spans="1:8" ht="17.399999999999999" thickBot="1" x14ac:dyDescent="0.45">
      <c r="A82" s="16">
        <v>81</v>
      </c>
      <c r="B82" s="17">
        <v>45559</v>
      </c>
      <c r="C82" s="17" t="str">
        <f>TEXT(sentiment[[#This Row],[date]],"MMM-YYYY")</f>
        <v>Sep-2024</v>
      </c>
      <c r="D82" s="18" t="s">
        <v>17</v>
      </c>
      <c r="E82" s="18" t="s">
        <v>11</v>
      </c>
      <c r="F82" s="18" t="s">
        <v>28</v>
      </c>
      <c r="G82" s="18">
        <v>4</v>
      </c>
      <c r="H82" s="19" t="s">
        <v>13</v>
      </c>
    </row>
    <row r="83" spans="1:8" ht="17.399999999999999" thickBot="1" x14ac:dyDescent="0.45">
      <c r="A83" s="16">
        <v>82</v>
      </c>
      <c r="B83" s="17">
        <v>45902</v>
      </c>
      <c r="C83" s="17" t="str">
        <f>TEXT(sentiment[[#This Row],[date]],"MMM-YYYY")</f>
        <v>Sep-2025</v>
      </c>
      <c r="D83" s="18" t="s">
        <v>22</v>
      </c>
      <c r="E83" s="18" t="s">
        <v>8</v>
      </c>
      <c r="F83" s="18" t="s">
        <v>28</v>
      </c>
      <c r="G83" s="18">
        <v>4</v>
      </c>
      <c r="H83" s="19" t="s">
        <v>13</v>
      </c>
    </row>
    <row r="84" spans="1:8" ht="17.399999999999999" thickBot="1" x14ac:dyDescent="0.45">
      <c r="A84" s="16">
        <v>83</v>
      </c>
      <c r="B84" s="17">
        <v>45686</v>
      </c>
      <c r="C84" s="17" t="str">
        <f>TEXT(sentiment[[#This Row],[date]],"MMM-YYYY")</f>
        <v>Jan-2025</v>
      </c>
      <c r="D84" s="18" t="s">
        <v>18</v>
      </c>
      <c r="E84" s="18" t="s">
        <v>15</v>
      </c>
      <c r="F84" s="18" t="s">
        <v>23</v>
      </c>
      <c r="G84" s="18">
        <v>1</v>
      </c>
      <c r="H84" s="19" t="s">
        <v>20</v>
      </c>
    </row>
    <row r="85" spans="1:8" ht="17.399999999999999" thickBot="1" x14ac:dyDescent="0.45">
      <c r="A85" s="16">
        <v>84</v>
      </c>
      <c r="B85" s="17">
        <v>45293</v>
      </c>
      <c r="C85" s="17" t="str">
        <f>TEXT(sentiment[[#This Row],[date]],"MMM-YYYY")</f>
        <v>Jan-2024</v>
      </c>
      <c r="D85" s="18" t="s">
        <v>18</v>
      </c>
      <c r="E85" s="18" t="s">
        <v>11</v>
      </c>
      <c r="F85" s="18" t="s">
        <v>16</v>
      </c>
      <c r="G85" s="18">
        <v>5</v>
      </c>
      <c r="H85" s="19" t="s">
        <v>13</v>
      </c>
    </row>
    <row r="86" spans="1:8" ht="17.399999999999999" thickBot="1" x14ac:dyDescent="0.45">
      <c r="A86" s="16">
        <v>85</v>
      </c>
      <c r="B86" s="17">
        <v>45363</v>
      </c>
      <c r="C86" s="17" t="str">
        <f>TEXT(sentiment[[#This Row],[date]],"MMM-YYYY")</f>
        <v>Mar-2024</v>
      </c>
      <c r="D86" s="18" t="s">
        <v>7</v>
      </c>
      <c r="E86" s="18" t="s">
        <v>8</v>
      </c>
      <c r="F86" s="18" t="s">
        <v>24</v>
      </c>
      <c r="G86" s="18">
        <v>2</v>
      </c>
      <c r="H86" s="19" t="s">
        <v>20</v>
      </c>
    </row>
    <row r="87" spans="1:8" ht="17.399999999999999" thickBot="1" x14ac:dyDescent="0.45">
      <c r="A87" s="16">
        <v>86</v>
      </c>
      <c r="B87" s="17">
        <v>45599</v>
      </c>
      <c r="C87" s="17" t="str">
        <f>TEXT(sentiment[[#This Row],[date]],"MMM-YYYY")</f>
        <v>Nov-2024</v>
      </c>
      <c r="D87" s="18" t="s">
        <v>18</v>
      </c>
      <c r="E87" s="18" t="s">
        <v>8</v>
      </c>
      <c r="F87" s="18" t="s">
        <v>27</v>
      </c>
      <c r="G87" s="18">
        <v>1</v>
      </c>
      <c r="H87" s="19" t="s">
        <v>20</v>
      </c>
    </row>
    <row r="88" spans="1:8" ht="17.399999999999999" thickBot="1" x14ac:dyDescent="0.45">
      <c r="A88" s="16">
        <v>87</v>
      </c>
      <c r="B88" s="17">
        <v>45594</v>
      </c>
      <c r="C88" s="17" t="str">
        <f>TEXT(sentiment[[#This Row],[date]],"MMM-YYYY")</f>
        <v>Oct-2024</v>
      </c>
      <c r="D88" s="18" t="s">
        <v>18</v>
      </c>
      <c r="E88" s="18" t="s">
        <v>15</v>
      </c>
      <c r="F88" s="18" t="s">
        <v>25</v>
      </c>
      <c r="G88" s="18">
        <v>2</v>
      </c>
      <c r="H88" s="19" t="s">
        <v>20</v>
      </c>
    </row>
    <row r="89" spans="1:8" ht="17.399999999999999" thickBot="1" x14ac:dyDescent="0.45">
      <c r="A89" s="16">
        <v>88</v>
      </c>
      <c r="B89" s="17">
        <v>45985</v>
      </c>
      <c r="C89" s="17" t="str">
        <f>TEXT(sentiment[[#This Row],[date]],"MMM-YYYY")</f>
        <v>Nov-2025</v>
      </c>
      <c r="D89" s="18" t="s">
        <v>7</v>
      </c>
      <c r="E89" s="18" t="s">
        <v>15</v>
      </c>
      <c r="F89" s="18" t="s">
        <v>24</v>
      </c>
      <c r="G89" s="18">
        <v>2</v>
      </c>
      <c r="H89" s="19" t="s">
        <v>20</v>
      </c>
    </row>
    <row r="90" spans="1:8" ht="17.399999999999999" thickBot="1" x14ac:dyDescent="0.45">
      <c r="A90" s="16">
        <v>89</v>
      </c>
      <c r="B90" s="17">
        <v>45707</v>
      </c>
      <c r="C90" s="17" t="str">
        <f>TEXT(sentiment[[#This Row],[date]],"MMM-YYYY")</f>
        <v>Feb-2025</v>
      </c>
      <c r="D90" s="18" t="s">
        <v>18</v>
      </c>
      <c r="E90" s="18" t="s">
        <v>15</v>
      </c>
      <c r="F90" s="18" t="s">
        <v>31</v>
      </c>
      <c r="G90" s="18">
        <v>4</v>
      </c>
      <c r="H90" s="19" t="s">
        <v>10</v>
      </c>
    </row>
    <row r="91" spans="1:8" ht="17.399999999999999" thickBot="1" x14ac:dyDescent="0.45">
      <c r="A91" s="16">
        <v>90</v>
      </c>
      <c r="B91" s="17">
        <v>45732</v>
      </c>
      <c r="C91" s="17" t="str">
        <f>TEXT(sentiment[[#This Row],[date]],"MMM-YYYY")</f>
        <v>Mar-2025</v>
      </c>
      <c r="D91" s="18" t="s">
        <v>26</v>
      </c>
      <c r="E91" s="18" t="s">
        <v>11</v>
      </c>
      <c r="F91" s="18" t="s">
        <v>24</v>
      </c>
      <c r="G91" s="18">
        <v>1</v>
      </c>
      <c r="H91" s="19" t="s">
        <v>20</v>
      </c>
    </row>
    <row r="92" spans="1:8" ht="17.399999999999999" thickBot="1" x14ac:dyDescent="0.45">
      <c r="A92" s="16">
        <v>91</v>
      </c>
      <c r="B92" s="17">
        <v>45768</v>
      </c>
      <c r="C92" s="17" t="str">
        <f>TEXT(sentiment[[#This Row],[date]],"MMM-YYYY")</f>
        <v>Apr-2025</v>
      </c>
      <c r="D92" s="18" t="s">
        <v>22</v>
      </c>
      <c r="E92" s="18" t="s">
        <v>8</v>
      </c>
      <c r="F92" s="18" t="s">
        <v>9</v>
      </c>
      <c r="G92" s="18">
        <v>4</v>
      </c>
      <c r="H92" s="19" t="s">
        <v>10</v>
      </c>
    </row>
    <row r="93" spans="1:8" ht="17.399999999999999" thickBot="1" x14ac:dyDescent="0.45">
      <c r="A93" s="16">
        <v>92</v>
      </c>
      <c r="B93" s="17">
        <v>45465</v>
      </c>
      <c r="C93" s="17" t="str">
        <f>TEXT(sentiment[[#This Row],[date]],"MMM-YYYY")</f>
        <v>Jun-2024</v>
      </c>
      <c r="D93" s="18" t="s">
        <v>7</v>
      </c>
      <c r="E93" s="18" t="s">
        <v>15</v>
      </c>
      <c r="F93" s="18" t="s">
        <v>31</v>
      </c>
      <c r="G93" s="18">
        <v>4</v>
      </c>
      <c r="H93" s="19" t="s">
        <v>10</v>
      </c>
    </row>
    <row r="94" spans="1:8" ht="17.399999999999999" thickBot="1" x14ac:dyDescent="0.45">
      <c r="A94" s="16">
        <v>93</v>
      </c>
      <c r="B94" s="17">
        <v>45387</v>
      </c>
      <c r="C94" s="17" t="str">
        <f>TEXT(sentiment[[#This Row],[date]],"MMM-YYYY")</f>
        <v>Apr-2024</v>
      </c>
      <c r="D94" s="18" t="s">
        <v>26</v>
      </c>
      <c r="E94" s="18" t="s">
        <v>15</v>
      </c>
      <c r="F94" s="18" t="s">
        <v>31</v>
      </c>
      <c r="G94" s="18">
        <v>4</v>
      </c>
      <c r="H94" s="19" t="s">
        <v>10</v>
      </c>
    </row>
    <row r="95" spans="1:8" ht="17.399999999999999" thickBot="1" x14ac:dyDescent="0.45">
      <c r="A95" s="16">
        <v>94</v>
      </c>
      <c r="B95" s="17">
        <v>45442</v>
      </c>
      <c r="C95" s="17" t="str">
        <f>TEXT(sentiment[[#This Row],[date]],"MMM-YYYY")</f>
        <v>May-2024</v>
      </c>
      <c r="D95" s="18" t="s">
        <v>14</v>
      </c>
      <c r="E95" s="18" t="s">
        <v>15</v>
      </c>
      <c r="F95" s="18" t="s">
        <v>16</v>
      </c>
      <c r="G95" s="18">
        <v>4</v>
      </c>
      <c r="H95" s="19" t="s">
        <v>13</v>
      </c>
    </row>
    <row r="96" spans="1:8" ht="17.399999999999999" thickBot="1" x14ac:dyDescent="0.45">
      <c r="A96" s="16">
        <v>95</v>
      </c>
      <c r="B96" s="17">
        <v>45758</v>
      </c>
      <c r="C96" s="17" t="str">
        <f>TEXT(sentiment[[#This Row],[date]],"MMM-YYYY")</f>
        <v>Apr-2025</v>
      </c>
      <c r="D96" s="18" t="s">
        <v>22</v>
      </c>
      <c r="E96" s="18" t="s">
        <v>11</v>
      </c>
      <c r="F96" s="18" t="s">
        <v>24</v>
      </c>
      <c r="G96" s="18">
        <v>1</v>
      </c>
      <c r="H96" s="19" t="s">
        <v>20</v>
      </c>
    </row>
    <row r="97" spans="1:8" ht="17.399999999999999" thickBot="1" x14ac:dyDescent="0.45">
      <c r="A97" s="16">
        <v>96</v>
      </c>
      <c r="B97" s="17">
        <v>45798</v>
      </c>
      <c r="C97" s="17" t="str">
        <f>TEXT(sentiment[[#This Row],[date]],"MMM-YYYY")</f>
        <v>May-2025</v>
      </c>
      <c r="D97" s="18" t="s">
        <v>22</v>
      </c>
      <c r="E97" s="18" t="s">
        <v>15</v>
      </c>
      <c r="F97" s="18" t="s">
        <v>16</v>
      </c>
      <c r="G97" s="18">
        <v>5</v>
      </c>
      <c r="H97" s="19" t="s">
        <v>13</v>
      </c>
    </row>
    <row r="98" spans="1:8" ht="17.399999999999999" thickBot="1" x14ac:dyDescent="0.45">
      <c r="A98" s="16">
        <v>97</v>
      </c>
      <c r="B98" s="17">
        <v>45401</v>
      </c>
      <c r="C98" s="17" t="str">
        <f>TEXT(sentiment[[#This Row],[date]],"MMM-YYYY")</f>
        <v>Apr-2024</v>
      </c>
      <c r="D98" s="18" t="s">
        <v>26</v>
      </c>
      <c r="E98" s="18" t="s">
        <v>8</v>
      </c>
      <c r="F98" s="18" t="s">
        <v>9</v>
      </c>
      <c r="G98" s="18">
        <v>3</v>
      </c>
      <c r="H98" s="19" t="s">
        <v>10</v>
      </c>
    </row>
    <row r="99" spans="1:8" ht="17.399999999999999" thickBot="1" x14ac:dyDescent="0.45">
      <c r="A99" s="16">
        <v>98</v>
      </c>
      <c r="B99" s="17">
        <v>45343</v>
      </c>
      <c r="C99" s="17" t="str">
        <f>TEXT(sentiment[[#This Row],[date]],"MMM-YYYY")</f>
        <v>Feb-2024</v>
      </c>
      <c r="D99" s="18" t="s">
        <v>18</v>
      </c>
      <c r="E99" s="18" t="s">
        <v>15</v>
      </c>
      <c r="F99" s="18" t="s">
        <v>29</v>
      </c>
      <c r="G99" s="18">
        <v>5</v>
      </c>
      <c r="H99" s="19" t="s">
        <v>13</v>
      </c>
    </row>
    <row r="100" spans="1:8" ht="17.399999999999999" thickBot="1" x14ac:dyDescent="0.45">
      <c r="A100" s="16">
        <v>99</v>
      </c>
      <c r="B100" s="17">
        <v>45767</v>
      </c>
      <c r="C100" s="17" t="str">
        <f>TEXT(sentiment[[#This Row],[date]],"MMM-YYYY")</f>
        <v>Apr-2025</v>
      </c>
      <c r="D100" s="18" t="s">
        <v>7</v>
      </c>
      <c r="E100" s="18" t="s">
        <v>11</v>
      </c>
      <c r="F100" s="18" t="s">
        <v>24</v>
      </c>
      <c r="G100" s="18">
        <v>1</v>
      </c>
      <c r="H100" s="19" t="s">
        <v>20</v>
      </c>
    </row>
    <row r="101" spans="1:8" ht="17.399999999999999" thickBot="1" x14ac:dyDescent="0.45">
      <c r="A101" s="16">
        <v>100</v>
      </c>
      <c r="B101" s="17">
        <v>45745</v>
      </c>
      <c r="C101" s="17" t="str">
        <f>TEXT(sentiment[[#This Row],[date]],"MMM-YYYY")</f>
        <v>Mar-2025</v>
      </c>
      <c r="D101" s="18" t="s">
        <v>18</v>
      </c>
      <c r="E101" s="18" t="s">
        <v>11</v>
      </c>
      <c r="F101" s="18" t="s">
        <v>30</v>
      </c>
      <c r="G101" s="18">
        <v>4</v>
      </c>
      <c r="H101" s="19" t="s">
        <v>10</v>
      </c>
    </row>
    <row r="102" spans="1:8" ht="17.399999999999999" thickBot="1" x14ac:dyDescent="0.45">
      <c r="A102" s="16">
        <v>101</v>
      </c>
      <c r="B102" s="17">
        <v>45454</v>
      </c>
      <c r="C102" s="17" t="str">
        <f>TEXT(sentiment[[#This Row],[date]],"MMM-YYYY")</f>
        <v>Jun-2024</v>
      </c>
      <c r="D102" s="18" t="s">
        <v>7</v>
      </c>
      <c r="E102" s="18" t="s">
        <v>8</v>
      </c>
      <c r="F102" s="18" t="s">
        <v>27</v>
      </c>
      <c r="G102" s="18">
        <v>2</v>
      </c>
      <c r="H102" s="19" t="s">
        <v>20</v>
      </c>
    </row>
    <row r="103" spans="1:8" ht="17.399999999999999" thickBot="1" x14ac:dyDescent="0.45">
      <c r="A103" s="16">
        <v>102</v>
      </c>
      <c r="B103" s="17">
        <v>45944</v>
      </c>
      <c r="C103" s="17" t="str">
        <f>TEXT(sentiment[[#This Row],[date]],"MMM-YYYY")</f>
        <v>Oct-2025</v>
      </c>
      <c r="D103" s="18" t="s">
        <v>21</v>
      </c>
      <c r="E103" s="18" t="s">
        <v>11</v>
      </c>
      <c r="F103" s="18" t="s">
        <v>27</v>
      </c>
      <c r="G103" s="18">
        <v>1</v>
      </c>
      <c r="H103" s="19" t="s">
        <v>20</v>
      </c>
    </row>
    <row r="104" spans="1:8" ht="17.399999999999999" thickBot="1" x14ac:dyDescent="0.45">
      <c r="A104" s="16">
        <v>103</v>
      </c>
      <c r="B104" s="17">
        <v>45573</v>
      </c>
      <c r="C104" s="17" t="str">
        <f>TEXT(sentiment[[#This Row],[date]],"MMM-YYYY")</f>
        <v>Oct-2024</v>
      </c>
      <c r="D104" s="18" t="s">
        <v>22</v>
      </c>
      <c r="E104" s="18" t="s">
        <v>15</v>
      </c>
      <c r="F104" s="18" t="s">
        <v>31</v>
      </c>
      <c r="G104" s="18">
        <v>3</v>
      </c>
      <c r="H104" s="19" t="s">
        <v>10</v>
      </c>
    </row>
    <row r="105" spans="1:8" ht="17.399999999999999" thickBot="1" x14ac:dyDescent="0.45">
      <c r="A105" s="16">
        <v>104</v>
      </c>
      <c r="B105" s="17">
        <v>45635</v>
      </c>
      <c r="C105" s="17" t="str">
        <f>TEXT(sentiment[[#This Row],[date]],"MMM-YYYY")</f>
        <v>Dec-2024</v>
      </c>
      <c r="D105" s="18" t="s">
        <v>21</v>
      </c>
      <c r="E105" s="18" t="s">
        <v>11</v>
      </c>
      <c r="F105" s="18" t="s">
        <v>29</v>
      </c>
      <c r="G105" s="18">
        <v>5</v>
      </c>
      <c r="H105" s="19" t="s">
        <v>13</v>
      </c>
    </row>
    <row r="106" spans="1:8" ht="17.399999999999999" thickBot="1" x14ac:dyDescent="0.45">
      <c r="A106" s="16">
        <v>105</v>
      </c>
      <c r="B106" s="17">
        <v>45528</v>
      </c>
      <c r="C106" s="17" t="str">
        <f>TEXT(sentiment[[#This Row],[date]],"MMM-YYYY")</f>
        <v>Aug-2024</v>
      </c>
      <c r="D106" s="18" t="s">
        <v>22</v>
      </c>
      <c r="E106" s="18" t="s">
        <v>11</v>
      </c>
      <c r="F106" s="18" t="s">
        <v>16</v>
      </c>
      <c r="G106" s="18">
        <v>4</v>
      </c>
      <c r="H106" s="19" t="s">
        <v>13</v>
      </c>
    </row>
    <row r="107" spans="1:8" ht="17.399999999999999" thickBot="1" x14ac:dyDescent="0.45">
      <c r="A107" s="16">
        <v>106</v>
      </c>
      <c r="B107" s="17">
        <v>45357</v>
      </c>
      <c r="C107" s="17" t="str">
        <f>TEXT(sentiment[[#This Row],[date]],"MMM-YYYY")</f>
        <v>Mar-2024</v>
      </c>
      <c r="D107" s="18" t="s">
        <v>22</v>
      </c>
      <c r="E107" s="18" t="s">
        <v>8</v>
      </c>
      <c r="F107" s="18" t="s">
        <v>31</v>
      </c>
      <c r="G107" s="18">
        <v>3</v>
      </c>
      <c r="H107" s="19" t="s">
        <v>10</v>
      </c>
    </row>
    <row r="108" spans="1:8" ht="17.399999999999999" thickBot="1" x14ac:dyDescent="0.45">
      <c r="A108" s="16">
        <v>107</v>
      </c>
      <c r="B108" s="17">
        <v>45717</v>
      </c>
      <c r="C108" s="17" t="str">
        <f>TEXT(sentiment[[#This Row],[date]],"MMM-YYYY")</f>
        <v>Mar-2025</v>
      </c>
      <c r="D108" s="18" t="s">
        <v>14</v>
      </c>
      <c r="E108" s="18" t="s">
        <v>15</v>
      </c>
      <c r="F108" s="18" t="s">
        <v>34</v>
      </c>
      <c r="G108" s="18">
        <v>4</v>
      </c>
      <c r="H108" s="19" t="s">
        <v>10</v>
      </c>
    </row>
    <row r="109" spans="1:8" ht="17.399999999999999" thickBot="1" x14ac:dyDescent="0.45">
      <c r="A109" s="16">
        <v>108</v>
      </c>
      <c r="B109" s="17">
        <v>45881</v>
      </c>
      <c r="C109" s="17" t="str">
        <f>TEXT(sentiment[[#This Row],[date]],"MMM-YYYY")</f>
        <v>Aug-2025</v>
      </c>
      <c r="D109" s="18" t="s">
        <v>22</v>
      </c>
      <c r="E109" s="18" t="s">
        <v>8</v>
      </c>
      <c r="F109" s="18" t="s">
        <v>19</v>
      </c>
      <c r="G109" s="18">
        <v>1</v>
      </c>
      <c r="H109" s="19" t="s">
        <v>20</v>
      </c>
    </row>
    <row r="110" spans="1:8" ht="17.399999999999999" thickBot="1" x14ac:dyDescent="0.45">
      <c r="A110" s="16">
        <v>109</v>
      </c>
      <c r="B110" s="17">
        <v>45691</v>
      </c>
      <c r="C110" s="17" t="str">
        <f>TEXT(sentiment[[#This Row],[date]],"MMM-YYYY")</f>
        <v>Feb-2025</v>
      </c>
      <c r="D110" s="18" t="s">
        <v>26</v>
      </c>
      <c r="E110" s="18" t="s">
        <v>8</v>
      </c>
      <c r="F110" s="18" t="s">
        <v>24</v>
      </c>
      <c r="G110" s="18">
        <v>2</v>
      </c>
      <c r="H110" s="19" t="s">
        <v>20</v>
      </c>
    </row>
    <row r="111" spans="1:8" ht="17.399999999999999" thickBot="1" x14ac:dyDescent="0.45">
      <c r="A111" s="16">
        <v>110</v>
      </c>
      <c r="B111" s="17">
        <v>45791</v>
      </c>
      <c r="C111" s="17" t="str">
        <f>TEXT(sentiment[[#This Row],[date]],"MMM-YYYY")</f>
        <v>May-2025</v>
      </c>
      <c r="D111" s="18" t="s">
        <v>17</v>
      </c>
      <c r="E111" s="18" t="s">
        <v>8</v>
      </c>
      <c r="F111" s="18" t="s">
        <v>34</v>
      </c>
      <c r="G111" s="18">
        <v>3</v>
      </c>
      <c r="H111" s="19" t="s">
        <v>10</v>
      </c>
    </row>
    <row r="112" spans="1:8" ht="17.399999999999999" thickBot="1" x14ac:dyDescent="0.45">
      <c r="A112" s="16">
        <v>111</v>
      </c>
      <c r="B112" s="17">
        <v>45690</v>
      </c>
      <c r="C112" s="17" t="str">
        <f>TEXT(sentiment[[#This Row],[date]],"MMM-YYYY")</f>
        <v>Feb-2025</v>
      </c>
      <c r="D112" s="18" t="s">
        <v>21</v>
      </c>
      <c r="E112" s="18" t="s">
        <v>11</v>
      </c>
      <c r="F112" s="18" t="s">
        <v>27</v>
      </c>
      <c r="G112" s="18">
        <v>1</v>
      </c>
      <c r="H112" s="19" t="s">
        <v>20</v>
      </c>
    </row>
    <row r="113" spans="1:8" ht="17.399999999999999" thickBot="1" x14ac:dyDescent="0.45">
      <c r="A113" s="16">
        <v>112</v>
      </c>
      <c r="B113" s="17">
        <v>45770</v>
      </c>
      <c r="C113" s="17" t="str">
        <f>TEXT(sentiment[[#This Row],[date]],"MMM-YYYY")</f>
        <v>Apr-2025</v>
      </c>
      <c r="D113" s="18" t="s">
        <v>17</v>
      </c>
      <c r="E113" s="18" t="s">
        <v>11</v>
      </c>
      <c r="F113" s="18" t="s">
        <v>30</v>
      </c>
      <c r="G113" s="18">
        <v>3</v>
      </c>
      <c r="H113" s="19" t="s">
        <v>10</v>
      </c>
    </row>
    <row r="114" spans="1:8" ht="17.399999999999999" thickBot="1" x14ac:dyDescent="0.45">
      <c r="A114" s="16">
        <v>113</v>
      </c>
      <c r="B114" s="17">
        <v>45898</v>
      </c>
      <c r="C114" s="17" t="str">
        <f>TEXT(sentiment[[#This Row],[date]],"MMM-YYYY")</f>
        <v>Aug-2025</v>
      </c>
      <c r="D114" s="18" t="s">
        <v>18</v>
      </c>
      <c r="E114" s="18" t="s">
        <v>11</v>
      </c>
      <c r="F114" s="18" t="s">
        <v>29</v>
      </c>
      <c r="G114" s="18">
        <v>5</v>
      </c>
      <c r="H114" s="19" t="s">
        <v>13</v>
      </c>
    </row>
    <row r="115" spans="1:8" ht="17.399999999999999" thickBot="1" x14ac:dyDescent="0.45">
      <c r="A115" s="16">
        <v>114</v>
      </c>
      <c r="B115" s="17">
        <v>45430</v>
      </c>
      <c r="C115" s="17" t="str">
        <f>TEXT(sentiment[[#This Row],[date]],"MMM-YYYY")</f>
        <v>May-2024</v>
      </c>
      <c r="D115" s="18" t="s">
        <v>26</v>
      </c>
      <c r="E115" s="18" t="s">
        <v>8</v>
      </c>
      <c r="F115" s="18" t="s">
        <v>16</v>
      </c>
      <c r="G115" s="18">
        <v>5</v>
      </c>
      <c r="H115" s="19" t="s">
        <v>13</v>
      </c>
    </row>
    <row r="116" spans="1:8" ht="17.399999999999999" thickBot="1" x14ac:dyDescent="0.45">
      <c r="A116" s="16">
        <v>115</v>
      </c>
      <c r="B116" s="17">
        <v>45680</v>
      </c>
      <c r="C116" s="17" t="str">
        <f>TEXT(sentiment[[#This Row],[date]],"MMM-YYYY")</f>
        <v>Jan-2025</v>
      </c>
      <c r="D116" s="18" t="s">
        <v>21</v>
      </c>
      <c r="E116" s="18" t="s">
        <v>15</v>
      </c>
      <c r="F116" s="18" t="s">
        <v>32</v>
      </c>
      <c r="G116" s="18">
        <v>5</v>
      </c>
      <c r="H116" s="19" t="s">
        <v>13</v>
      </c>
    </row>
    <row r="117" spans="1:8" ht="17.399999999999999" thickBot="1" x14ac:dyDescent="0.45">
      <c r="A117" s="16">
        <v>116</v>
      </c>
      <c r="B117" s="17">
        <v>45680</v>
      </c>
      <c r="C117" s="17" t="str">
        <f>TEXT(sentiment[[#This Row],[date]],"MMM-YYYY")</f>
        <v>Jan-2025</v>
      </c>
      <c r="D117" s="18" t="s">
        <v>21</v>
      </c>
      <c r="E117" s="18" t="s">
        <v>8</v>
      </c>
      <c r="F117" s="18" t="s">
        <v>23</v>
      </c>
      <c r="G117" s="18">
        <v>2</v>
      </c>
      <c r="H117" s="19" t="s">
        <v>20</v>
      </c>
    </row>
    <row r="118" spans="1:8" ht="17.399999999999999" thickBot="1" x14ac:dyDescent="0.45">
      <c r="A118" s="16">
        <v>117</v>
      </c>
      <c r="B118" s="17">
        <v>45311</v>
      </c>
      <c r="C118" s="17" t="str">
        <f>TEXT(sentiment[[#This Row],[date]],"MMM-YYYY")</f>
        <v>Jan-2024</v>
      </c>
      <c r="D118" s="18" t="s">
        <v>7</v>
      </c>
      <c r="E118" s="18" t="s">
        <v>11</v>
      </c>
      <c r="F118" s="18" t="s">
        <v>29</v>
      </c>
      <c r="G118" s="18">
        <v>5</v>
      </c>
      <c r="H118" s="19" t="s">
        <v>13</v>
      </c>
    </row>
    <row r="119" spans="1:8" ht="17.399999999999999" thickBot="1" x14ac:dyDescent="0.45">
      <c r="A119" s="16">
        <v>118</v>
      </c>
      <c r="B119" s="17">
        <v>45957</v>
      </c>
      <c r="C119" s="17" t="str">
        <f>TEXT(sentiment[[#This Row],[date]],"MMM-YYYY")</f>
        <v>Oct-2025</v>
      </c>
      <c r="D119" s="18" t="s">
        <v>14</v>
      </c>
      <c r="E119" s="18" t="s">
        <v>11</v>
      </c>
      <c r="F119" s="18" t="s">
        <v>19</v>
      </c>
      <c r="G119" s="18">
        <v>1</v>
      </c>
      <c r="H119" s="19" t="s">
        <v>20</v>
      </c>
    </row>
    <row r="120" spans="1:8" ht="17.399999999999999" thickBot="1" x14ac:dyDescent="0.45">
      <c r="A120" s="16">
        <v>119</v>
      </c>
      <c r="B120" s="17">
        <v>45496</v>
      </c>
      <c r="C120" s="17" t="str">
        <f>TEXT(sentiment[[#This Row],[date]],"MMM-YYYY")</f>
        <v>Jul-2024</v>
      </c>
      <c r="D120" s="18" t="s">
        <v>26</v>
      </c>
      <c r="E120" s="18" t="s">
        <v>15</v>
      </c>
      <c r="F120" s="18" t="s">
        <v>12</v>
      </c>
      <c r="G120" s="18">
        <v>4</v>
      </c>
      <c r="H120" s="19" t="s">
        <v>13</v>
      </c>
    </row>
    <row r="121" spans="1:8" ht="17.399999999999999" thickBot="1" x14ac:dyDescent="0.45">
      <c r="A121" s="16">
        <v>120</v>
      </c>
      <c r="B121" s="17">
        <v>45421</v>
      </c>
      <c r="C121" s="17" t="str">
        <f>TEXT(sentiment[[#This Row],[date]],"MMM-YYYY")</f>
        <v>May-2024</v>
      </c>
      <c r="D121" s="18" t="s">
        <v>22</v>
      </c>
      <c r="E121" s="18" t="s">
        <v>11</v>
      </c>
      <c r="F121" s="18" t="s">
        <v>29</v>
      </c>
      <c r="G121" s="18">
        <v>4</v>
      </c>
      <c r="H121" s="19" t="s">
        <v>13</v>
      </c>
    </row>
    <row r="122" spans="1:8" ht="17.399999999999999" thickBot="1" x14ac:dyDescent="0.45">
      <c r="A122" s="16">
        <v>121</v>
      </c>
      <c r="B122" s="17">
        <v>45768</v>
      </c>
      <c r="C122" s="17" t="str">
        <f>TEXT(sentiment[[#This Row],[date]],"MMM-YYYY")</f>
        <v>Apr-2025</v>
      </c>
      <c r="D122" s="18" t="s">
        <v>7</v>
      </c>
      <c r="E122" s="18" t="s">
        <v>8</v>
      </c>
      <c r="F122" s="18" t="s">
        <v>31</v>
      </c>
      <c r="G122" s="18">
        <v>3</v>
      </c>
      <c r="H122" s="19" t="s">
        <v>10</v>
      </c>
    </row>
    <row r="123" spans="1:8" ht="17.399999999999999" thickBot="1" x14ac:dyDescent="0.45">
      <c r="A123" s="16">
        <v>122</v>
      </c>
      <c r="B123" s="17">
        <v>45459</v>
      </c>
      <c r="C123" s="17" t="str">
        <f>TEXT(sentiment[[#This Row],[date]],"MMM-YYYY")</f>
        <v>Jun-2024</v>
      </c>
      <c r="D123" s="18" t="s">
        <v>21</v>
      </c>
      <c r="E123" s="18" t="s">
        <v>15</v>
      </c>
      <c r="F123" s="18" t="s">
        <v>12</v>
      </c>
      <c r="G123" s="18">
        <v>4</v>
      </c>
      <c r="H123" s="19" t="s">
        <v>13</v>
      </c>
    </row>
    <row r="124" spans="1:8" ht="17.399999999999999" thickBot="1" x14ac:dyDescent="0.45">
      <c r="A124" s="16">
        <v>123</v>
      </c>
      <c r="B124" s="17">
        <v>45881</v>
      </c>
      <c r="C124" s="17" t="str">
        <f>TEXT(sentiment[[#This Row],[date]],"MMM-YYYY")</f>
        <v>Aug-2025</v>
      </c>
      <c r="D124" s="18" t="s">
        <v>7</v>
      </c>
      <c r="E124" s="18" t="s">
        <v>8</v>
      </c>
      <c r="F124" s="18" t="s">
        <v>32</v>
      </c>
      <c r="G124" s="18">
        <v>5</v>
      </c>
      <c r="H124" s="19" t="s">
        <v>13</v>
      </c>
    </row>
    <row r="125" spans="1:8" ht="17.399999999999999" thickBot="1" x14ac:dyDescent="0.45">
      <c r="A125" s="16">
        <v>124</v>
      </c>
      <c r="B125" s="17">
        <v>45369</v>
      </c>
      <c r="C125" s="17" t="str">
        <f>TEXT(sentiment[[#This Row],[date]],"MMM-YYYY")</f>
        <v>Mar-2024</v>
      </c>
      <c r="D125" s="18" t="s">
        <v>18</v>
      </c>
      <c r="E125" s="18" t="s">
        <v>11</v>
      </c>
      <c r="F125" s="18" t="s">
        <v>9</v>
      </c>
      <c r="G125" s="18">
        <v>3</v>
      </c>
      <c r="H125" s="19" t="s">
        <v>10</v>
      </c>
    </row>
    <row r="126" spans="1:8" ht="17.399999999999999" thickBot="1" x14ac:dyDescent="0.45">
      <c r="A126" s="16">
        <v>125</v>
      </c>
      <c r="B126" s="17">
        <v>45992</v>
      </c>
      <c r="C126" s="17" t="str">
        <f>TEXT(sentiment[[#This Row],[date]],"MMM-YYYY")</f>
        <v>Dec-2025</v>
      </c>
      <c r="D126" s="18" t="s">
        <v>18</v>
      </c>
      <c r="E126" s="18" t="s">
        <v>15</v>
      </c>
      <c r="F126" s="18" t="s">
        <v>12</v>
      </c>
      <c r="G126" s="18">
        <v>5</v>
      </c>
      <c r="H126" s="19" t="s">
        <v>13</v>
      </c>
    </row>
    <row r="127" spans="1:8" ht="17.399999999999999" thickBot="1" x14ac:dyDescent="0.45">
      <c r="A127" s="16">
        <v>126</v>
      </c>
      <c r="B127" s="17">
        <v>45837</v>
      </c>
      <c r="C127" s="17" t="str">
        <f>TEXT(sentiment[[#This Row],[date]],"MMM-YYYY")</f>
        <v>Jun-2025</v>
      </c>
      <c r="D127" s="18" t="s">
        <v>22</v>
      </c>
      <c r="E127" s="18" t="s">
        <v>11</v>
      </c>
      <c r="F127" s="18" t="s">
        <v>28</v>
      </c>
      <c r="G127" s="18">
        <v>5</v>
      </c>
      <c r="H127" s="19" t="s">
        <v>13</v>
      </c>
    </row>
    <row r="128" spans="1:8" ht="17.399999999999999" thickBot="1" x14ac:dyDescent="0.45">
      <c r="A128" s="16">
        <v>127</v>
      </c>
      <c r="B128" s="17">
        <v>45304</v>
      </c>
      <c r="C128" s="17" t="str">
        <f>TEXT(sentiment[[#This Row],[date]],"MMM-YYYY")</f>
        <v>Jan-2024</v>
      </c>
      <c r="D128" s="18" t="s">
        <v>26</v>
      </c>
      <c r="E128" s="18" t="s">
        <v>8</v>
      </c>
      <c r="F128" s="18" t="s">
        <v>32</v>
      </c>
      <c r="G128" s="18">
        <v>5</v>
      </c>
      <c r="H128" s="19" t="s">
        <v>13</v>
      </c>
    </row>
    <row r="129" spans="1:8" ht="17.399999999999999" thickBot="1" x14ac:dyDescent="0.45">
      <c r="A129" s="16">
        <v>128</v>
      </c>
      <c r="B129" s="17">
        <v>45662</v>
      </c>
      <c r="C129" s="17" t="str">
        <f>TEXT(sentiment[[#This Row],[date]],"MMM-YYYY")</f>
        <v>Jan-2025</v>
      </c>
      <c r="D129" s="18" t="s">
        <v>7</v>
      </c>
      <c r="E129" s="18" t="s">
        <v>8</v>
      </c>
      <c r="F129" s="18" t="s">
        <v>16</v>
      </c>
      <c r="G129" s="18">
        <v>5</v>
      </c>
      <c r="H129" s="19" t="s">
        <v>13</v>
      </c>
    </row>
    <row r="130" spans="1:8" ht="17.399999999999999" thickBot="1" x14ac:dyDescent="0.45">
      <c r="A130" s="16">
        <v>129</v>
      </c>
      <c r="B130" s="17">
        <v>45826</v>
      </c>
      <c r="C130" s="17" t="str">
        <f>TEXT(sentiment[[#This Row],[date]],"MMM-YYYY")</f>
        <v>Jun-2025</v>
      </c>
      <c r="D130" s="18" t="s">
        <v>7</v>
      </c>
      <c r="E130" s="18" t="s">
        <v>8</v>
      </c>
      <c r="F130" s="18" t="s">
        <v>24</v>
      </c>
      <c r="G130" s="18">
        <v>1</v>
      </c>
      <c r="H130" s="19" t="s">
        <v>20</v>
      </c>
    </row>
    <row r="131" spans="1:8" ht="17.399999999999999" thickBot="1" x14ac:dyDescent="0.45">
      <c r="A131" s="16">
        <v>130</v>
      </c>
      <c r="B131" s="17">
        <v>45768</v>
      </c>
      <c r="C131" s="17" t="str">
        <f>TEXT(sentiment[[#This Row],[date]],"MMM-YYYY")</f>
        <v>Apr-2025</v>
      </c>
      <c r="D131" s="18" t="s">
        <v>22</v>
      </c>
      <c r="E131" s="18" t="s">
        <v>11</v>
      </c>
      <c r="F131" s="18" t="s">
        <v>30</v>
      </c>
      <c r="G131" s="18">
        <v>4</v>
      </c>
      <c r="H131" s="19" t="s">
        <v>10</v>
      </c>
    </row>
    <row r="132" spans="1:8" ht="17.399999999999999" thickBot="1" x14ac:dyDescent="0.45">
      <c r="A132" s="16">
        <v>131</v>
      </c>
      <c r="B132" s="17">
        <v>45543</v>
      </c>
      <c r="C132" s="17" t="str">
        <f>TEXT(sentiment[[#This Row],[date]],"MMM-YYYY")</f>
        <v>Sep-2024</v>
      </c>
      <c r="D132" s="18" t="s">
        <v>26</v>
      </c>
      <c r="E132" s="18" t="s">
        <v>15</v>
      </c>
      <c r="F132" s="18" t="s">
        <v>23</v>
      </c>
      <c r="G132" s="18">
        <v>2</v>
      </c>
      <c r="H132" s="19" t="s">
        <v>20</v>
      </c>
    </row>
    <row r="133" spans="1:8" ht="17.399999999999999" thickBot="1" x14ac:dyDescent="0.45">
      <c r="A133" s="16">
        <v>132</v>
      </c>
      <c r="B133" s="17">
        <v>45767</v>
      </c>
      <c r="C133" s="17" t="str">
        <f>TEXT(sentiment[[#This Row],[date]],"MMM-YYYY")</f>
        <v>Apr-2025</v>
      </c>
      <c r="D133" s="18" t="s">
        <v>18</v>
      </c>
      <c r="E133" s="18" t="s">
        <v>11</v>
      </c>
      <c r="F133" s="18" t="s">
        <v>27</v>
      </c>
      <c r="G133" s="18">
        <v>1</v>
      </c>
      <c r="H133" s="19" t="s">
        <v>20</v>
      </c>
    </row>
    <row r="134" spans="1:8" ht="17.399999999999999" thickBot="1" x14ac:dyDescent="0.45">
      <c r="A134" s="16">
        <v>133</v>
      </c>
      <c r="B134" s="17">
        <v>45798</v>
      </c>
      <c r="C134" s="17" t="str">
        <f>TEXT(sentiment[[#This Row],[date]],"MMM-YYYY")</f>
        <v>May-2025</v>
      </c>
      <c r="D134" s="18" t="s">
        <v>26</v>
      </c>
      <c r="E134" s="18" t="s">
        <v>8</v>
      </c>
      <c r="F134" s="18" t="s">
        <v>25</v>
      </c>
      <c r="G134" s="18">
        <v>1</v>
      </c>
      <c r="H134" s="19" t="s">
        <v>20</v>
      </c>
    </row>
    <row r="135" spans="1:8" ht="17.399999999999999" thickBot="1" x14ac:dyDescent="0.45">
      <c r="A135" s="16">
        <v>134</v>
      </c>
      <c r="B135" s="17">
        <v>45655</v>
      </c>
      <c r="C135" s="17" t="str">
        <f>TEXT(sentiment[[#This Row],[date]],"MMM-YYYY")</f>
        <v>Dec-2024</v>
      </c>
      <c r="D135" s="18" t="s">
        <v>26</v>
      </c>
      <c r="E135" s="18" t="s">
        <v>8</v>
      </c>
      <c r="F135" s="18" t="s">
        <v>23</v>
      </c>
      <c r="G135" s="18">
        <v>1</v>
      </c>
      <c r="H135" s="19" t="s">
        <v>20</v>
      </c>
    </row>
    <row r="136" spans="1:8" ht="17.399999999999999" thickBot="1" x14ac:dyDescent="0.45">
      <c r="A136" s="16">
        <v>135</v>
      </c>
      <c r="B136" s="17">
        <v>45861</v>
      </c>
      <c r="C136" s="17" t="str">
        <f>TEXT(sentiment[[#This Row],[date]],"MMM-YYYY")</f>
        <v>Jul-2025</v>
      </c>
      <c r="D136" s="18" t="s">
        <v>14</v>
      </c>
      <c r="E136" s="18" t="s">
        <v>11</v>
      </c>
      <c r="F136" s="18" t="s">
        <v>25</v>
      </c>
      <c r="G136" s="18">
        <v>2</v>
      </c>
      <c r="H136" s="19" t="s">
        <v>20</v>
      </c>
    </row>
    <row r="137" spans="1:8" ht="17.399999999999999" thickBot="1" x14ac:dyDescent="0.45">
      <c r="A137" s="16">
        <v>136</v>
      </c>
      <c r="B137" s="17">
        <v>45708</v>
      </c>
      <c r="C137" s="17" t="str">
        <f>TEXT(sentiment[[#This Row],[date]],"MMM-YYYY")</f>
        <v>Feb-2025</v>
      </c>
      <c r="D137" s="18" t="s">
        <v>22</v>
      </c>
      <c r="E137" s="18" t="s">
        <v>11</v>
      </c>
      <c r="F137" s="18" t="s">
        <v>16</v>
      </c>
      <c r="G137" s="18">
        <v>4</v>
      </c>
      <c r="H137" s="19" t="s">
        <v>13</v>
      </c>
    </row>
    <row r="138" spans="1:8" ht="17.399999999999999" thickBot="1" x14ac:dyDescent="0.45">
      <c r="A138" s="16">
        <v>137</v>
      </c>
      <c r="B138" s="17">
        <v>45953</v>
      </c>
      <c r="C138" s="17" t="str">
        <f>TEXT(sentiment[[#This Row],[date]],"MMM-YYYY")</f>
        <v>Oct-2025</v>
      </c>
      <c r="D138" s="18" t="s">
        <v>7</v>
      </c>
      <c r="E138" s="18" t="s">
        <v>8</v>
      </c>
      <c r="F138" s="18" t="s">
        <v>34</v>
      </c>
      <c r="G138" s="18">
        <v>4</v>
      </c>
      <c r="H138" s="19" t="s">
        <v>10</v>
      </c>
    </row>
    <row r="139" spans="1:8" ht="17.399999999999999" thickBot="1" x14ac:dyDescent="0.45">
      <c r="A139" s="16">
        <v>138</v>
      </c>
      <c r="B139" s="17">
        <v>45593</v>
      </c>
      <c r="C139" s="17" t="str">
        <f>TEXT(sentiment[[#This Row],[date]],"MMM-YYYY")</f>
        <v>Oct-2024</v>
      </c>
      <c r="D139" s="18" t="s">
        <v>17</v>
      </c>
      <c r="E139" s="18" t="s">
        <v>8</v>
      </c>
      <c r="F139" s="18" t="s">
        <v>16</v>
      </c>
      <c r="G139" s="18">
        <v>4</v>
      </c>
      <c r="H139" s="19" t="s">
        <v>13</v>
      </c>
    </row>
    <row r="140" spans="1:8" ht="17.399999999999999" thickBot="1" x14ac:dyDescent="0.45">
      <c r="A140" s="16">
        <v>139</v>
      </c>
      <c r="B140" s="17">
        <v>45776</v>
      </c>
      <c r="C140" s="17" t="str">
        <f>TEXT(sentiment[[#This Row],[date]],"MMM-YYYY")</f>
        <v>Apr-2025</v>
      </c>
      <c r="D140" s="18" t="s">
        <v>18</v>
      </c>
      <c r="E140" s="18" t="s">
        <v>11</v>
      </c>
      <c r="F140" s="18" t="s">
        <v>23</v>
      </c>
      <c r="G140" s="18">
        <v>2</v>
      </c>
      <c r="H140" s="19" t="s">
        <v>20</v>
      </c>
    </row>
    <row r="141" spans="1:8" ht="17.399999999999999" thickBot="1" x14ac:dyDescent="0.45">
      <c r="A141" s="16">
        <v>140</v>
      </c>
      <c r="B141" s="17">
        <v>45652</v>
      </c>
      <c r="C141" s="17" t="str">
        <f>TEXT(sentiment[[#This Row],[date]],"MMM-YYYY")</f>
        <v>Dec-2024</v>
      </c>
      <c r="D141" s="18" t="s">
        <v>7</v>
      </c>
      <c r="E141" s="18" t="s">
        <v>8</v>
      </c>
      <c r="F141" s="18" t="s">
        <v>23</v>
      </c>
      <c r="G141" s="18">
        <v>2</v>
      </c>
      <c r="H141" s="19" t="s">
        <v>20</v>
      </c>
    </row>
    <row r="142" spans="1:8" ht="17.399999999999999" thickBot="1" x14ac:dyDescent="0.45">
      <c r="A142" s="16">
        <v>141</v>
      </c>
      <c r="B142" s="17">
        <v>45528</v>
      </c>
      <c r="C142" s="17" t="str">
        <f>TEXT(sentiment[[#This Row],[date]],"MMM-YYYY")</f>
        <v>Aug-2024</v>
      </c>
      <c r="D142" s="18" t="s">
        <v>14</v>
      </c>
      <c r="E142" s="18" t="s">
        <v>11</v>
      </c>
      <c r="F142" s="18" t="s">
        <v>25</v>
      </c>
      <c r="G142" s="18">
        <v>2</v>
      </c>
      <c r="H142" s="19" t="s">
        <v>20</v>
      </c>
    </row>
    <row r="143" spans="1:8" ht="17.399999999999999" thickBot="1" x14ac:dyDescent="0.45">
      <c r="A143" s="16">
        <v>142</v>
      </c>
      <c r="B143" s="17">
        <v>45840</v>
      </c>
      <c r="C143" s="17" t="str">
        <f>TEXT(sentiment[[#This Row],[date]],"MMM-YYYY")</f>
        <v>Jul-2025</v>
      </c>
      <c r="D143" s="18" t="s">
        <v>26</v>
      </c>
      <c r="E143" s="18" t="s">
        <v>11</v>
      </c>
      <c r="F143" s="18" t="s">
        <v>25</v>
      </c>
      <c r="G143" s="18">
        <v>1</v>
      </c>
      <c r="H143" s="19" t="s">
        <v>20</v>
      </c>
    </row>
    <row r="144" spans="1:8" ht="17.399999999999999" thickBot="1" x14ac:dyDescent="0.45">
      <c r="A144" s="16">
        <v>143</v>
      </c>
      <c r="B144" s="17">
        <v>45787</v>
      </c>
      <c r="C144" s="17" t="str">
        <f>TEXT(sentiment[[#This Row],[date]],"MMM-YYYY")</f>
        <v>May-2025</v>
      </c>
      <c r="D144" s="18" t="s">
        <v>21</v>
      </c>
      <c r="E144" s="18" t="s">
        <v>11</v>
      </c>
      <c r="F144" s="18" t="s">
        <v>12</v>
      </c>
      <c r="G144" s="18">
        <v>4</v>
      </c>
      <c r="H144" s="19" t="s">
        <v>13</v>
      </c>
    </row>
    <row r="145" spans="1:8" ht="17.399999999999999" thickBot="1" x14ac:dyDescent="0.45">
      <c r="A145" s="16">
        <v>144</v>
      </c>
      <c r="B145" s="17">
        <v>45394</v>
      </c>
      <c r="C145" s="17" t="str">
        <f>TEXT(sentiment[[#This Row],[date]],"MMM-YYYY")</f>
        <v>Apr-2024</v>
      </c>
      <c r="D145" s="18" t="s">
        <v>26</v>
      </c>
      <c r="E145" s="18" t="s">
        <v>15</v>
      </c>
      <c r="F145" s="18" t="s">
        <v>31</v>
      </c>
      <c r="G145" s="18">
        <v>4</v>
      </c>
      <c r="H145" s="19" t="s">
        <v>10</v>
      </c>
    </row>
    <row r="146" spans="1:8" ht="17.399999999999999" thickBot="1" x14ac:dyDescent="0.45">
      <c r="A146" s="16">
        <v>145</v>
      </c>
      <c r="B146" s="17">
        <v>45475</v>
      </c>
      <c r="C146" s="17" t="str">
        <f>TEXT(sentiment[[#This Row],[date]],"MMM-YYYY")</f>
        <v>Jul-2024</v>
      </c>
      <c r="D146" s="18" t="s">
        <v>21</v>
      </c>
      <c r="E146" s="18" t="s">
        <v>15</v>
      </c>
      <c r="F146" s="18" t="s">
        <v>12</v>
      </c>
      <c r="G146" s="18">
        <v>5</v>
      </c>
      <c r="H146" s="19" t="s">
        <v>13</v>
      </c>
    </row>
    <row r="147" spans="1:8" ht="17.399999999999999" thickBot="1" x14ac:dyDescent="0.45">
      <c r="A147" s="16">
        <v>146</v>
      </c>
      <c r="B147" s="17">
        <v>45338</v>
      </c>
      <c r="C147" s="17" t="str">
        <f>TEXT(sentiment[[#This Row],[date]],"MMM-YYYY")</f>
        <v>Feb-2024</v>
      </c>
      <c r="D147" s="18" t="s">
        <v>14</v>
      </c>
      <c r="E147" s="18" t="s">
        <v>11</v>
      </c>
      <c r="F147" s="18" t="s">
        <v>28</v>
      </c>
      <c r="G147" s="18">
        <v>5</v>
      </c>
      <c r="H147" s="19" t="s">
        <v>13</v>
      </c>
    </row>
    <row r="148" spans="1:8" ht="17.399999999999999" thickBot="1" x14ac:dyDescent="0.45">
      <c r="A148" s="16">
        <v>147</v>
      </c>
      <c r="B148" s="17">
        <v>45945</v>
      </c>
      <c r="C148" s="17" t="str">
        <f>TEXT(sentiment[[#This Row],[date]],"MMM-YYYY")</f>
        <v>Oct-2025</v>
      </c>
      <c r="D148" s="18" t="s">
        <v>26</v>
      </c>
      <c r="E148" s="18" t="s">
        <v>8</v>
      </c>
      <c r="F148" s="18" t="s">
        <v>33</v>
      </c>
      <c r="G148" s="18">
        <v>3</v>
      </c>
      <c r="H148" s="19" t="s">
        <v>10</v>
      </c>
    </row>
    <row r="149" spans="1:8" ht="17.399999999999999" thickBot="1" x14ac:dyDescent="0.45">
      <c r="A149" s="16">
        <v>148</v>
      </c>
      <c r="B149" s="17">
        <v>45772</v>
      </c>
      <c r="C149" s="17" t="str">
        <f>TEXT(sentiment[[#This Row],[date]],"MMM-YYYY")</f>
        <v>Apr-2025</v>
      </c>
      <c r="D149" s="18" t="s">
        <v>22</v>
      </c>
      <c r="E149" s="18" t="s">
        <v>8</v>
      </c>
      <c r="F149" s="18" t="s">
        <v>28</v>
      </c>
      <c r="G149" s="18">
        <v>5</v>
      </c>
      <c r="H149" s="19" t="s">
        <v>13</v>
      </c>
    </row>
    <row r="150" spans="1:8" ht="17.399999999999999" thickBot="1" x14ac:dyDescent="0.45">
      <c r="A150" s="16">
        <v>149</v>
      </c>
      <c r="B150" s="17">
        <v>45550</v>
      </c>
      <c r="C150" s="17" t="str">
        <f>TEXT(sentiment[[#This Row],[date]],"MMM-YYYY")</f>
        <v>Sep-2024</v>
      </c>
      <c r="D150" s="18" t="s">
        <v>26</v>
      </c>
      <c r="E150" s="18" t="s">
        <v>8</v>
      </c>
      <c r="F150" s="18" t="s">
        <v>29</v>
      </c>
      <c r="G150" s="18">
        <v>4</v>
      </c>
      <c r="H150" s="19" t="s">
        <v>13</v>
      </c>
    </row>
    <row r="151" spans="1:8" ht="17.399999999999999" thickBot="1" x14ac:dyDescent="0.45">
      <c r="A151" s="16">
        <v>150</v>
      </c>
      <c r="B151" s="17">
        <v>45795</v>
      </c>
      <c r="C151" s="17" t="str">
        <f>TEXT(sentiment[[#This Row],[date]],"MMM-YYYY")</f>
        <v>May-2025</v>
      </c>
      <c r="D151" s="18" t="s">
        <v>14</v>
      </c>
      <c r="E151" s="18" t="s">
        <v>11</v>
      </c>
      <c r="F151" s="18" t="s">
        <v>29</v>
      </c>
      <c r="G151" s="18">
        <v>5</v>
      </c>
      <c r="H151" s="19" t="s">
        <v>13</v>
      </c>
    </row>
    <row r="152" spans="1:8" ht="17.399999999999999" thickBot="1" x14ac:dyDescent="0.45">
      <c r="A152" s="16">
        <v>151</v>
      </c>
      <c r="B152" s="17">
        <v>45868</v>
      </c>
      <c r="C152" s="17" t="str">
        <f>TEXT(sentiment[[#This Row],[date]],"MMM-YYYY")</f>
        <v>Jul-2025</v>
      </c>
      <c r="D152" s="18" t="s">
        <v>21</v>
      </c>
      <c r="E152" s="18" t="s">
        <v>15</v>
      </c>
      <c r="F152" s="18" t="s">
        <v>16</v>
      </c>
      <c r="G152" s="18">
        <v>4</v>
      </c>
      <c r="H152" s="19" t="s">
        <v>13</v>
      </c>
    </row>
    <row r="153" spans="1:8" ht="17.399999999999999" thickBot="1" x14ac:dyDescent="0.45">
      <c r="A153" s="16">
        <v>152</v>
      </c>
      <c r="B153" s="17">
        <v>45912</v>
      </c>
      <c r="C153" s="17" t="str">
        <f>TEXT(sentiment[[#This Row],[date]],"MMM-YYYY")</f>
        <v>Sep-2025</v>
      </c>
      <c r="D153" s="18" t="s">
        <v>18</v>
      </c>
      <c r="E153" s="18" t="s">
        <v>11</v>
      </c>
      <c r="F153" s="18" t="s">
        <v>16</v>
      </c>
      <c r="G153" s="18">
        <v>5</v>
      </c>
      <c r="H153" s="19" t="s">
        <v>13</v>
      </c>
    </row>
    <row r="154" spans="1:8" ht="17.399999999999999" thickBot="1" x14ac:dyDescent="0.45">
      <c r="A154" s="16">
        <v>153</v>
      </c>
      <c r="B154" s="17">
        <v>45753</v>
      </c>
      <c r="C154" s="17" t="str">
        <f>TEXT(sentiment[[#This Row],[date]],"MMM-YYYY")</f>
        <v>Apr-2025</v>
      </c>
      <c r="D154" s="18" t="s">
        <v>22</v>
      </c>
      <c r="E154" s="18" t="s">
        <v>8</v>
      </c>
      <c r="F154" s="18" t="s">
        <v>30</v>
      </c>
      <c r="G154" s="18">
        <v>4</v>
      </c>
      <c r="H154" s="19" t="s">
        <v>10</v>
      </c>
    </row>
    <row r="155" spans="1:8" ht="17.399999999999999" thickBot="1" x14ac:dyDescent="0.45">
      <c r="A155" s="16">
        <v>154</v>
      </c>
      <c r="B155" s="17">
        <v>45874</v>
      </c>
      <c r="C155" s="17" t="str">
        <f>TEXT(sentiment[[#This Row],[date]],"MMM-YYYY")</f>
        <v>Aug-2025</v>
      </c>
      <c r="D155" s="18" t="s">
        <v>18</v>
      </c>
      <c r="E155" s="18" t="s">
        <v>15</v>
      </c>
      <c r="F155" s="18" t="s">
        <v>24</v>
      </c>
      <c r="G155" s="18">
        <v>2</v>
      </c>
      <c r="H155" s="19" t="s">
        <v>20</v>
      </c>
    </row>
    <row r="156" spans="1:8" ht="17.399999999999999" thickBot="1" x14ac:dyDescent="0.45">
      <c r="A156" s="16">
        <v>155</v>
      </c>
      <c r="B156" s="17">
        <v>45504</v>
      </c>
      <c r="C156" s="17" t="str">
        <f>TEXT(sentiment[[#This Row],[date]],"MMM-YYYY")</f>
        <v>Jul-2024</v>
      </c>
      <c r="D156" s="18" t="s">
        <v>7</v>
      </c>
      <c r="E156" s="18" t="s">
        <v>15</v>
      </c>
      <c r="F156" s="18" t="s">
        <v>31</v>
      </c>
      <c r="G156" s="18">
        <v>3</v>
      </c>
      <c r="H156" s="19" t="s">
        <v>10</v>
      </c>
    </row>
    <row r="157" spans="1:8" ht="17.399999999999999" thickBot="1" x14ac:dyDescent="0.45">
      <c r="A157" s="16">
        <v>156</v>
      </c>
      <c r="B157" s="17">
        <v>45452</v>
      </c>
      <c r="C157" s="17" t="str">
        <f>TEXT(sentiment[[#This Row],[date]],"MMM-YYYY")</f>
        <v>Jun-2024</v>
      </c>
      <c r="D157" s="18" t="s">
        <v>17</v>
      </c>
      <c r="E157" s="18" t="s">
        <v>15</v>
      </c>
      <c r="F157" s="18" t="s">
        <v>30</v>
      </c>
      <c r="G157" s="18">
        <v>3</v>
      </c>
      <c r="H157" s="19" t="s">
        <v>10</v>
      </c>
    </row>
    <row r="158" spans="1:8" ht="17.399999999999999" thickBot="1" x14ac:dyDescent="0.45">
      <c r="A158" s="16">
        <v>157</v>
      </c>
      <c r="B158" s="17">
        <v>45294</v>
      </c>
      <c r="C158" s="17" t="str">
        <f>TEXT(sentiment[[#This Row],[date]],"MMM-YYYY")</f>
        <v>Jan-2024</v>
      </c>
      <c r="D158" s="18" t="s">
        <v>22</v>
      </c>
      <c r="E158" s="18" t="s">
        <v>8</v>
      </c>
      <c r="F158" s="18" t="s">
        <v>12</v>
      </c>
      <c r="G158" s="18">
        <v>4</v>
      </c>
      <c r="H158" s="19" t="s">
        <v>13</v>
      </c>
    </row>
    <row r="159" spans="1:8" ht="17.399999999999999" thickBot="1" x14ac:dyDescent="0.45">
      <c r="A159" s="16">
        <v>158</v>
      </c>
      <c r="B159" s="17">
        <v>45325</v>
      </c>
      <c r="C159" s="17" t="str">
        <f>TEXT(sentiment[[#This Row],[date]],"MMM-YYYY")</f>
        <v>Feb-2024</v>
      </c>
      <c r="D159" s="18" t="s">
        <v>17</v>
      </c>
      <c r="E159" s="18" t="s">
        <v>8</v>
      </c>
      <c r="F159" s="18" t="s">
        <v>23</v>
      </c>
      <c r="G159" s="18">
        <v>2</v>
      </c>
      <c r="H159" s="19" t="s">
        <v>20</v>
      </c>
    </row>
    <row r="160" spans="1:8" ht="17.399999999999999" thickBot="1" x14ac:dyDescent="0.45">
      <c r="A160" s="16">
        <v>159</v>
      </c>
      <c r="B160" s="17">
        <v>45364</v>
      </c>
      <c r="C160" s="17" t="str">
        <f>TEXT(sentiment[[#This Row],[date]],"MMM-YYYY")</f>
        <v>Mar-2024</v>
      </c>
      <c r="D160" s="18" t="s">
        <v>7</v>
      </c>
      <c r="E160" s="18" t="s">
        <v>15</v>
      </c>
      <c r="F160" s="18" t="s">
        <v>31</v>
      </c>
      <c r="G160" s="18">
        <v>4</v>
      </c>
      <c r="H160" s="19" t="s">
        <v>10</v>
      </c>
    </row>
    <row r="161" spans="1:8" ht="17.399999999999999" thickBot="1" x14ac:dyDescent="0.45">
      <c r="A161" s="16">
        <v>160</v>
      </c>
      <c r="B161" s="17">
        <v>45727</v>
      </c>
      <c r="C161" s="17" t="str">
        <f>TEXT(sentiment[[#This Row],[date]],"MMM-YYYY")</f>
        <v>Mar-2025</v>
      </c>
      <c r="D161" s="18" t="s">
        <v>14</v>
      </c>
      <c r="E161" s="18" t="s">
        <v>11</v>
      </c>
      <c r="F161" s="18" t="s">
        <v>9</v>
      </c>
      <c r="G161" s="18">
        <v>3</v>
      </c>
      <c r="H161" s="19" t="s">
        <v>10</v>
      </c>
    </row>
    <row r="162" spans="1:8" ht="17.399999999999999" thickBot="1" x14ac:dyDescent="0.45">
      <c r="A162" s="16">
        <v>161</v>
      </c>
      <c r="B162" s="17">
        <v>45564</v>
      </c>
      <c r="C162" s="17" t="str">
        <f>TEXT(sentiment[[#This Row],[date]],"MMM-YYYY")</f>
        <v>Sep-2024</v>
      </c>
      <c r="D162" s="18" t="s">
        <v>26</v>
      </c>
      <c r="E162" s="18" t="s">
        <v>15</v>
      </c>
      <c r="F162" s="18" t="s">
        <v>33</v>
      </c>
      <c r="G162" s="18">
        <v>3</v>
      </c>
      <c r="H162" s="19" t="s">
        <v>10</v>
      </c>
    </row>
    <row r="163" spans="1:8" ht="17.399999999999999" thickBot="1" x14ac:dyDescent="0.45">
      <c r="A163" s="16">
        <v>162</v>
      </c>
      <c r="B163" s="17">
        <v>45606</v>
      </c>
      <c r="C163" s="17" t="str">
        <f>TEXT(sentiment[[#This Row],[date]],"MMM-YYYY")</f>
        <v>Nov-2024</v>
      </c>
      <c r="D163" s="18" t="s">
        <v>18</v>
      </c>
      <c r="E163" s="18" t="s">
        <v>11</v>
      </c>
      <c r="F163" s="18" t="s">
        <v>12</v>
      </c>
      <c r="G163" s="18">
        <v>4</v>
      </c>
      <c r="H163" s="19" t="s">
        <v>13</v>
      </c>
    </row>
    <row r="164" spans="1:8" ht="17.399999999999999" thickBot="1" x14ac:dyDescent="0.45">
      <c r="A164" s="16">
        <v>163</v>
      </c>
      <c r="B164" s="17">
        <v>45419</v>
      </c>
      <c r="C164" s="17" t="str">
        <f>TEXT(sentiment[[#This Row],[date]],"MMM-YYYY")</f>
        <v>May-2024</v>
      </c>
      <c r="D164" s="18" t="s">
        <v>22</v>
      </c>
      <c r="E164" s="18" t="s">
        <v>11</v>
      </c>
      <c r="F164" s="18" t="s">
        <v>23</v>
      </c>
      <c r="G164" s="18">
        <v>2</v>
      </c>
      <c r="H164" s="19" t="s">
        <v>20</v>
      </c>
    </row>
    <row r="165" spans="1:8" ht="17.399999999999999" thickBot="1" x14ac:dyDescent="0.45">
      <c r="A165" s="16">
        <v>164</v>
      </c>
      <c r="B165" s="17">
        <v>45570</v>
      </c>
      <c r="C165" s="17" t="str">
        <f>TEXT(sentiment[[#This Row],[date]],"MMM-YYYY")</f>
        <v>Oct-2024</v>
      </c>
      <c r="D165" s="18" t="s">
        <v>18</v>
      </c>
      <c r="E165" s="18" t="s">
        <v>11</v>
      </c>
      <c r="F165" s="18" t="s">
        <v>34</v>
      </c>
      <c r="G165" s="18">
        <v>4</v>
      </c>
      <c r="H165" s="19" t="s">
        <v>10</v>
      </c>
    </row>
    <row r="166" spans="1:8" ht="17.399999999999999" thickBot="1" x14ac:dyDescent="0.45">
      <c r="A166" s="16">
        <v>165</v>
      </c>
      <c r="B166" s="17">
        <v>45904</v>
      </c>
      <c r="C166" s="17" t="str">
        <f>TEXT(sentiment[[#This Row],[date]],"MMM-YYYY")</f>
        <v>Sep-2025</v>
      </c>
      <c r="D166" s="18" t="s">
        <v>14</v>
      </c>
      <c r="E166" s="18" t="s">
        <v>8</v>
      </c>
      <c r="F166" s="18" t="s">
        <v>23</v>
      </c>
      <c r="G166" s="18">
        <v>1</v>
      </c>
      <c r="H166" s="19" t="s">
        <v>20</v>
      </c>
    </row>
    <row r="167" spans="1:8" ht="17.399999999999999" thickBot="1" x14ac:dyDescent="0.45">
      <c r="A167" s="16">
        <v>166</v>
      </c>
      <c r="B167" s="17">
        <v>45318</v>
      </c>
      <c r="C167" s="17" t="str">
        <f>TEXT(sentiment[[#This Row],[date]],"MMM-YYYY")</f>
        <v>Jan-2024</v>
      </c>
      <c r="D167" s="18" t="s">
        <v>14</v>
      </c>
      <c r="E167" s="18" t="s">
        <v>15</v>
      </c>
      <c r="F167" s="18" t="s">
        <v>30</v>
      </c>
      <c r="G167" s="18">
        <v>4</v>
      </c>
      <c r="H167" s="19" t="s">
        <v>10</v>
      </c>
    </row>
    <row r="168" spans="1:8" ht="17.399999999999999" thickBot="1" x14ac:dyDescent="0.45">
      <c r="A168" s="16">
        <v>167</v>
      </c>
      <c r="B168" s="17">
        <v>45980</v>
      </c>
      <c r="C168" s="17" t="str">
        <f>TEXT(sentiment[[#This Row],[date]],"MMM-YYYY")</f>
        <v>Nov-2025</v>
      </c>
      <c r="D168" s="18" t="s">
        <v>26</v>
      </c>
      <c r="E168" s="18" t="s">
        <v>8</v>
      </c>
      <c r="F168" s="18" t="s">
        <v>30</v>
      </c>
      <c r="G168" s="18">
        <v>3</v>
      </c>
      <c r="H168" s="19" t="s">
        <v>10</v>
      </c>
    </row>
    <row r="169" spans="1:8" ht="17.399999999999999" thickBot="1" x14ac:dyDescent="0.45">
      <c r="A169" s="16">
        <v>168</v>
      </c>
      <c r="B169" s="17">
        <v>45773</v>
      </c>
      <c r="C169" s="17" t="str">
        <f>TEXT(sentiment[[#This Row],[date]],"MMM-YYYY")</f>
        <v>Apr-2025</v>
      </c>
      <c r="D169" s="18" t="s">
        <v>18</v>
      </c>
      <c r="E169" s="18" t="s">
        <v>11</v>
      </c>
      <c r="F169" s="18" t="s">
        <v>32</v>
      </c>
      <c r="G169" s="18">
        <v>4</v>
      </c>
      <c r="H169" s="19" t="s">
        <v>13</v>
      </c>
    </row>
    <row r="170" spans="1:8" ht="17.399999999999999" thickBot="1" x14ac:dyDescent="0.45">
      <c r="A170" s="16">
        <v>169</v>
      </c>
      <c r="B170" s="17">
        <v>45891</v>
      </c>
      <c r="C170" s="17" t="str">
        <f>TEXT(sentiment[[#This Row],[date]],"MMM-YYYY")</f>
        <v>Aug-2025</v>
      </c>
      <c r="D170" s="18" t="s">
        <v>22</v>
      </c>
      <c r="E170" s="18" t="s">
        <v>11</v>
      </c>
      <c r="F170" s="18" t="s">
        <v>27</v>
      </c>
      <c r="G170" s="18">
        <v>1</v>
      </c>
      <c r="H170" s="19" t="s">
        <v>20</v>
      </c>
    </row>
    <row r="171" spans="1:8" ht="17.399999999999999" thickBot="1" x14ac:dyDescent="0.45">
      <c r="A171" s="16">
        <v>170</v>
      </c>
      <c r="B171" s="17">
        <v>45648</v>
      </c>
      <c r="C171" s="17" t="str">
        <f>TEXT(sentiment[[#This Row],[date]],"MMM-YYYY")</f>
        <v>Dec-2024</v>
      </c>
      <c r="D171" s="18" t="s">
        <v>22</v>
      </c>
      <c r="E171" s="18" t="s">
        <v>8</v>
      </c>
      <c r="F171" s="18" t="s">
        <v>28</v>
      </c>
      <c r="G171" s="18">
        <v>5</v>
      </c>
      <c r="H171" s="19" t="s">
        <v>13</v>
      </c>
    </row>
    <row r="172" spans="1:8" ht="17.399999999999999" thickBot="1" x14ac:dyDescent="0.45">
      <c r="A172" s="16">
        <v>171</v>
      </c>
      <c r="B172" s="17">
        <v>45456</v>
      </c>
      <c r="C172" s="17" t="str">
        <f>TEXT(sentiment[[#This Row],[date]],"MMM-YYYY")</f>
        <v>Jun-2024</v>
      </c>
      <c r="D172" s="18" t="s">
        <v>21</v>
      </c>
      <c r="E172" s="18" t="s">
        <v>8</v>
      </c>
      <c r="F172" s="18" t="s">
        <v>34</v>
      </c>
      <c r="G172" s="18">
        <v>3</v>
      </c>
      <c r="H172" s="19" t="s">
        <v>10</v>
      </c>
    </row>
    <row r="173" spans="1:8" ht="17.399999999999999" thickBot="1" x14ac:dyDescent="0.45">
      <c r="A173" s="16">
        <v>172</v>
      </c>
      <c r="B173" s="17">
        <v>45855</v>
      </c>
      <c r="C173" s="17" t="str">
        <f>TEXT(sentiment[[#This Row],[date]],"MMM-YYYY")</f>
        <v>Jul-2025</v>
      </c>
      <c r="D173" s="18" t="s">
        <v>14</v>
      </c>
      <c r="E173" s="18" t="s">
        <v>8</v>
      </c>
      <c r="F173" s="18" t="s">
        <v>19</v>
      </c>
      <c r="G173" s="18">
        <v>2</v>
      </c>
      <c r="H173" s="19" t="s">
        <v>20</v>
      </c>
    </row>
    <row r="174" spans="1:8" ht="17.399999999999999" thickBot="1" x14ac:dyDescent="0.45">
      <c r="A174" s="16">
        <v>173</v>
      </c>
      <c r="B174" s="17">
        <v>45623</v>
      </c>
      <c r="C174" s="17" t="str">
        <f>TEXT(sentiment[[#This Row],[date]],"MMM-YYYY")</f>
        <v>Nov-2024</v>
      </c>
      <c r="D174" s="18" t="s">
        <v>14</v>
      </c>
      <c r="E174" s="18" t="s">
        <v>8</v>
      </c>
      <c r="F174" s="18" t="s">
        <v>24</v>
      </c>
      <c r="G174" s="18">
        <v>2</v>
      </c>
      <c r="H174" s="19" t="s">
        <v>20</v>
      </c>
    </row>
    <row r="175" spans="1:8" ht="17.399999999999999" thickBot="1" x14ac:dyDescent="0.45">
      <c r="A175" s="16">
        <v>174</v>
      </c>
      <c r="B175" s="17">
        <v>45715</v>
      </c>
      <c r="C175" s="17" t="str">
        <f>TEXT(sentiment[[#This Row],[date]],"MMM-YYYY")</f>
        <v>Feb-2025</v>
      </c>
      <c r="D175" s="18" t="s">
        <v>14</v>
      </c>
      <c r="E175" s="18" t="s">
        <v>15</v>
      </c>
      <c r="F175" s="18" t="s">
        <v>12</v>
      </c>
      <c r="G175" s="18">
        <v>5</v>
      </c>
      <c r="H175" s="19" t="s">
        <v>13</v>
      </c>
    </row>
    <row r="176" spans="1:8" ht="17.399999999999999" thickBot="1" x14ac:dyDescent="0.45">
      <c r="A176" s="16">
        <v>175</v>
      </c>
      <c r="B176" s="17">
        <v>45932</v>
      </c>
      <c r="C176" s="17" t="str">
        <f>TEXT(sentiment[[#This Row],[date]],"MMM-YYYY")</f>
        <v>Oct-2025</v>
      </c>
      <c r="D176" s="18" t="s">
        <v>22</v>
      </c>
      <c r="E176" s="18" t="s">
        <v>15</v>
      </c>
      <c r="F176" s="18" t="s">
        <v>25</v>
      </c>
      <c r="G176" s="18">
        <v>2</v>
      </c>
      <c r="H176" s="19" t="s">
        <v>20</v>
      </c>
    </row>
    <row r="177" spans="1:8" ht="17.399999999999999" thickBot="1" x14ac:dyDescent="0.45">
      <c r="A177" s="16">
        <v>176</v>
      </c>
      <c r="B177" s="17">
        <v>45586</v>
      </c>
      <c r="C177" s="17" t="str">
        <f>TEXT(sentiment[[#This Row],[date]],"MMM-YYYY")</f>
        <v>Oct-2024</v>
      </c>
      <c r="D177" s="18" t="s">
        <v>22</v>
      </c>
      <c r="E177" s="18" t="s">
        <v>11</v>
      </c>
      <c r="F177" s="18" t="s">
        <v>27</v>
      </c>
      <c r="G177" s="18">
        <v>1</v>
      </c>
      <c r="H177" s="19" t="s">
        <v>20</v>
      </c>
    </row>
    <row r="178" spans="1:8" ht="17.399999999999999" thickBot="1" x14ac:dyDescent="0.45">
      <c r="A178" s="16">
        <v>177</v>
      </c>
      <c r="B178" s="17">
        <v>45937</v>
      </c>
      <c r="C178" s="17" t="str">
        <f>TEXT(sentiment[[#This Row],[date]],"MMM-YYYY")</f>
        <v>Oct-2025</v>
      </c>
      <c r="D178" s="18" t="s">
        <v>18</v>
      </c>
      <c r="E178" s="18" t="s">
        <v>15</v>
      </c>
      <c r="F178" s="18" t="s">
        <v>16</v>
      </c>
      <c r="G178" s="18">
        <v>4</v>
      </c>
      <c r="H178" s="19" t="s">
        <v>13</v>
      </c>
    </row>
    <row r="179" spans="1:8" ht="17.399999999999999" thickBot="1" x14ac:dyDescent="0.45">
      <c r="A179" s="16">
        <v>178</v>
      </c>
      <c r="B179" s="17">
        <v>45857</v>
      </c>
      <c r="C179" s="17" t="str">
        <f>TEXT(sentiment[[#This Row],[date]],"MMM-YYYY")</f>
        <v>Jul-2025</v>
      </c>
      <c r="D179" s="18" t="s">
        <v>22</v>
      </c>
      <c r="E179" s="18" t="s">
        <v>15</v>
      </c>
      <c r="F179" s="18" t="s">
        <v>25</v>
      </c>
      <c r="G179" s="18">
        <v>1</v>
      </c>
      <c r="H179" s="19" t="s">
        <v>20</v>
      </c>
    </row>
    <row r="180" spans="1:8" ht="17.399999999999999" thickBot="1" x14ac:dyDescent="0.45">
      <c r="A180" s="16">
        <v>179</v>
      </c>
      <c r="B180" s="17">
        <v>45412</v>
      </c>
      <c r="C180" s="17" t="str">
        <f>TEXT(sentiment[[#This Row],[date]],"MMM-YYYY")</f>
        <v>Apr-2024</v>
      </c>
      <c r="D180" s="18" t="s">
        <v>7</v>
      </c>
      <c r="E180" s="18" t="s">
        <v>15</v>
      </c>
      <c r="F180" s="18" t="s">
        <v>32</v>
      </c>
      <c r="G180" s="18">
        <v>5</v>
      </c>
      <c r="H180" s="19" t="s">
        <v>13</v>
      </c>
    </row>
    <row r="181" spans="1:8" ht="17.399999999999999" thickBot="1" x14ac:dyDescent="0.45">
      <c r="A181" s="16">
        <v>180</v>
      </c>
      <c r="B181" s="17">
        <v>45813</v>
      </c>
      <c r="C181" s="17" t="str">
        <f>TEXT(sentiment[[#This Row],[date]],"MMM-YYYY")</f>
        <v>Jun-2025</v>
      </c>
      <c r="D181" s="18" t="s">
        <v>7</v>
      </c>
      <c r="E181" s="18" t="s">
        <v>8</v>
      </c>
      <c r="F181" s="18" t="s">
        <v>34</v>
      </c>
      <c r="G181" s="18">
        <v>4</v>
      </c>
      <c r="H181" s="19" t="s">
        <v>10</v>
      </c>
    </row>
    <row r="182" spans="1:8" ht="17.399999999999999" thickBot="1" x14ac:dyDescent="0.45">
      <c r="A182" s="16">
        <v>181</v>
      </c>
      <c r="B182" s="17">
        <v>45541</v>
      </c>
      <c r="C182" s="17" t="str">
        <f>TEXT(sentiment[[#This Row],[date]],"MMM-YYYY")</f>
        <v>Sep-2024</v>
      </c>
      <c r="D182" s="18" t="s">
        <v>22</v>
      </c>
      <c r="E182" s="18" t="s">
        <v>11</v>
      </c>
      <c r="F182" s="18" t="s">
        <v>25</v>
      </c>
      <c r="G182" s="18">
        <v>2</v>
      </c>
      <c r="H182" s="19" t="s">
        <v>20</v>
      </c>
    </row>
    <row r="183" spans="1:8" ht="17.399999999999999" thickBot="1" x14ac:dyDescent="0.45">
      <c r="A183" s="16">
        <v>182</v>
      </c>
      <c r="B183" s="17">
        <v>45905</v>
      </c>
      <c r="C183" s="17" t="str">
        <f>TEXT(sentiment[[#This Row],[date]],"MMM-YYYY")</f>
        <v>Sep-2025</v>
      </c>
      <c r="D183" s="18" t="s">
        <v>18</v>
      </c>
      <c r="E183" s="18" t="s">
        <v>11</v>
      </c>
      <c r="F183" s="18" t="s">
        <v>25</v>
      </c>
      <c r="G183" s="18">
        <v>1</v>
      </c>
      <c r="H183" s="19" t="s">
        <v>20</v>
      </c>
    </row>
    <row r="184" spans="1:8" ht="17.399999999999999" thickBot="1" x14ac:dyDescent="0.45">
      <c r="A184" s="16">
        <v>183</v>
      </c>
      <c r="B184" s="17">
        <v>45716</v>
      </c>
      <c r="C184" s="17" t="str">
        <f>TEXT(sentiment[[#This Row],[date]],"MMM-YYYY")</f>
        <v>Feb-2025</v>
      </c>
      <c r="D184" s="18" t="s">
        <v>21</v>
      </c>
      <c r="E184" s="18" t="s">
        <v>11</v>
      </c>
      <c r="F184" s="18" t="s">
        <v>28</v>
      </c>
      <c r="G184" s="18">
        <v>5</v>
      </c>
      <c r="H184" s="19" t="s">
        <v>13</v>
      </c>
    </row>
    <row r="185" spans="1:8" ht="17.399999999999999" thickBot="1" x14ac:dyDescent="0.45">
      <c r="A185" s="16">
        <v>184</v>
      </c>
      <c r="B185" s="17">
        <v>45597</v>
      </c>
      <c r="C185" s="17" t="str">
        <f>TEXT(sentiment[[#This Row],[date]],"MMM-YYYY")</f>
        <v>Nov-2024</v>
      </c>
      <c r="D185" s="18" t="s">
        <v>26</v>
      </c>
      <c r="E185" s="18" t="s">
        <v>11</v>
      </c>
      <c r="F185" s="18" t="s">
        <v>12</v>
      </c>
      <c r="G185" s="18">
        <v>5</v>
      </c>
      <c r="H185" s="19" t="s">
        <v>13</v>
      </c>
    </row>
    <row r="186" spans="1:8" ht="17.399999999999999" thickBot="1" x14ac:dyDescent="0.45">
      <c r="A186" s="16">
        <v>185</v>
      </c>
      <c r="B186" s="17">
        <v>45444</v>
      </c>
      <c r="C186" s="17" t="str">
        <f>TEXT(sentiment[[#This Row],[date]],"MMM-YYYY")</f>
        <v>Jun-2024</v>
      </c>
      <c r="D186" s="18" t="s">
        <v>22</v>
      </c>
      <c r="E186" s="18" t="s">
        <v>11</v>
      </c>
      <c r="F186" s="18" t="s">
        <v>34</v>
      </c>
      <c r="G186" s="18">
        <v>4</v>
      </c>
      <c r="H186" s="19" t="s">
        <v>10</v>
      </c>
    </row>
    <row r="187" spans="1:8" ht="17.399999999999999" thickBot="1" x14ac:dyDescent="0.45">
      <c r="A187" s="16">
        <v>186</v>
      </c>
      <c r="B187" s="17">
        <v>45857</v>
      </c>
      <c r="C187" s="17" t="str">
        <f>TEXT(sentiment[[#This Row],[date]],"MMM-YYYY")</f>
        <v>Jul-2025</v>
      </c>
      <c r="D187" s="18" t="s">
        <v>26</v>
      </c>
      <c r="E187" s="18" t="s">
        <v>11</v>
      </c>
      <c r="F187" s="18" t="s">
        <v>27</v>
      </c>
      <c r="G187" s="18">
        <v>2</v>
      </c>
      <c r="H187" s="19" t="s">
        <v>20</v>
      </c>
    </row>
    <row r="188" spans="1:8" ht="17.399999999999999" thickBot="1" x14ac:dyDescent="0.45">
      <c r="A188" s="16">
        <v>187</v>
      </c>
      <c r="B188" s="17">
        <v>45485</v>
      </c>
      <c r="C188" s="17" t="str">
        <f>TEXT(sentiment[[#This Row],[date]],"MMM-YYYY")</f>
        <v>Jul-2024</v>
      </c>
      <c r="D188" s="18" t="s">
        <v>7</v>
      </c>
      <c r="E188" s="18" t="s">
        <v>15</v>
      </c>
      <c r="F188" s="18" t="s">
        <v>24</v>
      </c>
      <c r="G188" s="18">
        <v>2</v>
      </c>
      <c r="H188" s="19" t="s">
        <v>20</v>
      </c>
    </row>
    <row r="189" spans="1:8" ht="17.399999999999999" thickBot="1" x14ac:dyDescent="0.45">
      <c r="A189" s="16">
        <v>188</v>
      </c>
      <c r="B189" s="17">
        <v>45712</v>
      </c>
      <c r="C189" s="17" t="str">
        <f>TEXT(sentiment[[#This Row],[date]],"MMM-YYYY")</f>
        <v>Feb-2025</v>
      </c>
      <c r="D189" s="18" t="s">
        <v>14</v>
      </c>
      <c r="E189" s="18" t="s">
        <v>8</v>
      </c>
      <c r="F189" s="18" t="s">
        <v>27</v>
      </c>
      <c r="G189" s="18">
        <v>1</v>
      </c>
      <c r="H189" s="19" t="s">
        <v>20</v>
      </c>
    </row>
    <row r="190" spans="1:8" ht="17.399999999999999" thickBot="1" x14ac:dyDescent="0.45">
      <c r="A190" s="16">
        <v>189</v>
      </c>
      <c r="B190" s="17">
        <v>45687</v>
      </c>
      <c r="C190" s="17" t="str">
        <f>TEXT(sentiment[[#This Row],[date]],"MMM-YYYY")</f>
        <v>Jan-2025</v>
      </c>
      <c r="D190" s="18" t="s">
        <v>7</v>
      </c>
      <c r="E190" s="18" t="s">
        <v>11</v>
      </c>
      <c r="F190" s="18" t="s">
        <v>9</v>
      </c>
      <c r="G190" s="18">
        <v>4</v>
      </c>
      <c r="H190" s="19" t="s">
        <v>10</v>
      </c>
    </row>
    <row r="191" spans="1:8" ht="17.399999999999999" thickBot="1" x14ac:dyDescent="0.45">
      <c r="A191" s="16">
        <v>190</v>
      </c>
      <c r="B191" s="17">
        <v>45421</v>
      </c>
      <c r="C191" s="17" t="str">
        <f>TEXT(sentiment[[#This Row],[date]],"MMM-YYYY")</f>
        <v>May-2024</v>
      </c>
      <c r="D191" s="18" t="s">
        <v>18</v>
      </c>
      <c r="E191" s="18" t="s">
        <v>11</v>
      </c>
      <c r="F191" s="18" t="s">
        <v>23</v>
      </c>
      <c r="G191" s="18">
        <v>1</v>
      </c>
      <c r="H191" s="19" t="s">
        <v>20</v>
      </c>
    </row>
    <row r="192" spans="1:8" ht="17.399999999999999" thickBot="1" x14ac:dyDescent="0.45">
      <c r="A192" s="16">
        <v>191</v>
      </c>
      <c r="B192" s="17">
        <v>45394</v>
      </c>
      <c r="C192" s="17" t="str">
        <f>TEXT(sentiment[[#This Row],[date]],"MMM-YYYY")</f>
        <v>Apr-2024</v>
      </c>
      <c r="D192" s="18" t="s">
        <v>18</v>
      </c>
      <c r="E192" s="18" t="s">
        <v>8</v>
      </c>
      <c r="F192" s="18" t="s">
        <v>29</v>
      </c>
      <c r="G192" s="18">
        <v>5</v>
      </c>
      <c r="H192" s="19" t="s">
        <v>13</v>
      </c>
    </row>
    <row r="193" spans="1:8" ht="17.399999999999999" thickBot="1" x14ac:dyDescent="0.45">
      <c r="A193" s="16">
        <v>192</v>
      </c>
      <c r="B193" s="17">
        <v>45711</v>
      </c>
      <c r="C193" s="17" t="str">
        <f>TEXT(sentiment[[#This Row],[date]],"MMM-YYYY")</f>
        <v>Feb-2025</v>
      </c>
      <c r="D193" s="18" t="s">
        <v>26</v>
      </c>
      <c r="E193" s="18" t="s">
        <v>11</v>
      </c>
      <c r="F193" s="18" t="s">
        <v>9</v>
      </c>
      <c r="G193" s="18">
        <v>3</v>
      </c>
      <c r="H193" s="19" t="s">
        <v>10</v>
      </c>
    </row>
    <row r="194" spans="1:8" ht="17.399999999999999" thickBot="1" x14ac:dyDescent="0.45">
      <c r="A194" s="16">
        <v>193</v>
      </c>
      <c r="B194" s="17">
        <v>45563</v>
      </c>
      <c r="C194" s="17" t="str">
        <f>TEXT(sentiment[[#This Row],[date]],"MMM-YYYY")</f>
        <v>Sep-2024</v>
      </c>
      <c r="D194" s="18" t="s">
        <v>21</v>
      </c>
      <c r="E194" s="18" t="s">
        <v>11</v>
      </c>
      <c r="F194" s="18" t="s">
        <v>32</v>
      </c>
      <c r="G194" s="18">
        <v>5</v>
      </c>
      <c r="H194" s="19" t="s">
        <v>13</v>
      </c>
    </row>
    <row r="195" spans="1:8" ht="17.399999999999999" thickBot="1" x14ac:dyDescent="0.45">
      <c r="A195" s="16">
        <v>194</v>
      </c>
      <c r="B195" s="17">
        <v>45628</v>
      </c>
      <c r="C195" s="17" t="str">
        <f>TEXT(sentiment[[#This Row],[date]],"MMM-YYYY")</f>
        <v>Dec-2024</v>
      </c>
      <c r="D195" s="18" t="s">
        <v>26</v>
      </c>
      <c r="E195" s="18" t="s">
        <v>11</v>
      </c>
      <c r="F195" s="18" t="s">
        <v>30</v>
      </c>
      <c r="G195" s="18">
        <v>3</v>
      </c>
      <c r="H195" s="19" t="s">
        <v>10</v>
      </c>
    </row>
    <row r="196" spans="1:8" ht="17.399999999999999" thickBot="1" x14ac:dyDescent="0.45">
      <c r="A196" s="16">
        <v>195</v>
      </c>
      <c r="B196" s="17">
        <v>45933</v>
      </c>
      <c r="C196" s="17" t="str">
        <f>TEXT(sentiment[[#This Row],[date]],"MMM-YYYY")</f>
        <v>Oct-2025</v>
      </c>
      <c r="D196" s="18" t="s">
        <v>7</v>
      </c>
      <c r="E196" s="18" t="s">
        <v>8</v>
      </c>
      <c r="F196" s="18" t="s">
        <v>24</v>
      </c>
      <c r="G196" s="18">
        <v>2</v>
      </c>
      <c r="H196" s="19" t="s">
        <v>20</v>
      </c>
    </row>
    <row r="197" spans="1:8" ht="17.399999999999999" thickBot="1" x14ac:dyDescent="0.45">
      <c r="A197" s="16">
        <v>196</v>
      </c>
      <c r="B197" s="17">
        <v>45532</v>
      </c>
      <c r="C197" s="17" t="str">
        <f>TEXT(sentiment[[#This Row],[date]],"MMM-YYYY")</f>
        <v>Aug-2024</v>
      </c>
      <c r="D197" s="18" t="s">
        <v>7</v>
      </c>
      <c r="E197" s="18" t="s">
        <v>11</v>
      </c>
      <c r="F197" s="18" t="s">
        <v>28</v>
      </c>
      <c r="G197" s="18">
        <v>4</v>
      </c>
      <c r="H197" s="19" t="s">
        <v>13</v>
      </c>
    </row>
    <row r="198" spans="1:8" ht="17.399999999999999" thickBot="1" x14ac:dyDescent="0.45">
      <c r="A198" s="16">
        <v>197</v>
      </c>
      <c r="B198" s="17">
        <v>45736</v>
      </c>
      <c r="C198" s="17" t="str">
        <f>TEXT(sentiment[[#This Row],[date]],"MMM-YYYY")</f>
        <v>Mar-2025</v>
      </c>
      <c r="D198" s="18" t="s">
        <v>14</v>
      </c>
      <c r="E198" s="18" t="s">
        <v>11</v>
      </c>
      <c r="F198" s="18" t="s">
        <v>29</v>
      </c>
      <c r="G198" s="18">
        <v>4</v>
      </c>
      <c r="H198" s="19" t="s">
        <v>13</v>
      </c>
    </row>
    <row r="199" spans="1:8" ht="17.399999999999999" thickBot="1" x14ac:dyDescent="0.45">
      <c r="A199" s="16">
        <v>198</v>
      </c>
      <c r="B199" s="17">
        <v>45598</v>
      </c>
      <c r="C199" s="17" t="str">
        <f>TEXT(sentiment[[#This Row],[date]],"MMM-YYYY")</f>
        <v>Nov-2024</v>
      </c>
      <c r="D199" s="18" t="s">
        <v>14</v>
      </c>
      <c r="E199" s="18" t="s">
        <v>15</v>
      </c>
      <c r="F199" s="18" t="s">
        <v>23</v>
      </c>
      <c r="G199" s="18">
        <v>1</v>
      </c>
      <c r="H199" s="19" t="s">
        <v>20</v>
      </c>
    </row>
    <row r="200" spans="1:8" ht="17.399999999999999" thickBot="1" x14ac:dyDescent="0.45">
      <c r="A200" s="16">
        <v>199</v>
      </c>
      <c r="B200" s="17">
        <v>45659</v>
      </c>
      <c r="C200" s="17" t="str">
        <f>TEXT(sentiment[[#This Row],[date]],"MMM-YYYY")</f>
        <v>Jan-2025</v>
      </c>
      <c r="D200" s="18" t="s">
        <v>21</v>
      </c>
      <c r="E200" s="18" t="s">
        <v>8</v>
      </c>
      <c r="F200" s="18" t="s">
        <v>16</v>
      </c>
      <c r="G200" s="18">
        <v>5</v>
      </c>
      <c r="H200" s="19" t="s">
        <v>13</v>
      </c>
    </row>
    <row r="201" spans="1:8" ht="17.399999999999999" thickBot="1" x14ac:dyDescent="0.45">
      <c r="A201" s="16">
        <v>200</v>
      </c>
      <c r="B201" s="17">
        <v>45871</v>
      </c>
      <c r="C201" s="17" t="str">
        <f>TEXT(sentiment[[#This Row],[date]],"MMM-YYYY")</f>
        <v>Aug-2025</v>
      </c>
      <c r="D201" s="18" t="s">
        <v>7</v>
      </c>
      <c r="E201" s="18" t="s">
        <v>15</v>
      </c>
      <c r="F201" s="18" t="s">
        <v>16</v>
      </c>
      <c r="G201" s="18">
        <v>5</v>
      </c>
      <c r="H201" s="19" t="s">
        <v>13</v>
      </c>
    </row>
    <row r="202" spans="1:8" ht="17.399999999999999" thickBot="1" x14ac:dyDescent="0.45">
      <c r="A202" s="16">
        <v>201</v>
      </c>
      <c r="B202" s="17">
        <v>45916</v>
      </c>
      <c r="C202" s="17" t="str">
        <f>TEXT(sentiment[[#This Row],[date]],"MMM-YYYY")</f>
        <v>Sep-2025</v>
      </c>
      <c r="D202" s="18" t="s">
        <v>26</v>
      </c>
      <c r="E202" s="18" t="s">
        <v>8</v>
      </c>
      <c r="F202" s="18" t="s">
        <v>12</v>
      </c>
      <c r="G202" s="18">
        <v>4</v>
      </c>
      <c r="H202" s="19" t="s">
        <v>13</v>
      </c>
    </row>
    <row r="203" spans="1:8" ht="17.399999999999999" thickBot="1" x14ac:dyDescent="0.45">
      <c r="A203" s="16">
        <v>202</v>
      </c>
      <c r="B203" s="17">
        <v>45801</v>
      </c>
      <c r="C203" s="17" t="str">
        <f>TEXT(sentiment[[#This Row],[date]],"MMM-YYYY")</f>
        <v>May-2025</v>
      </c>
      <c r="D203" s="18" t="s">
        <v>18</v>
      </c>
      <c r="E203" s="18" t="s">
        <v>15</v>
      </c>
      <c r="F203" s="18" t="s">
        <v>9</v>
      </c>
      <c r="G203" s="18">
        <v>3</v>
      </c>
      <c r="H203" s="19" t="s">
        <v>10</v>
      </c>
    </row>
    <row r="204" spans="1:8" ht="17.399999999999999" thickBot="1" x14ac:dyDescent="0.45">
      <c r="A204" s="16">
        <v>203</v>
      </c>
      <c r="B204" s="17">
        <v>45762</v>
      </c>
      <c r="C204" s="17" t="str">
        <f>TEXT(sentiment[[#This Row],[date]],"MMM-YYYY")</f>
        <v>Apr-2025</v>
      </c>
      <c r="D204" s="18" t="s">
        <v>21</v>
      </c>
      <c r="E204" s="18" t="s">
        <v>11</v>
      </c>
      <c r="F204" s="18" t="s">
        <v>19</v>
      </c>
      <c r="G204" s="18">
        <v>2</v>
      </c>
      <c r="H204" s="19" t="s">
        <v>20</v>
      </c>
    </row>
    <row r="205" spans="1:8" ht="17.399999999999999" thickBot="1" x14ac:dyDescent="0.45">
      <c r="A205" s="16">
        <v>204</v>
      </c>
      <c r="B205" s="17">
        <v>45985</v>
      </c>
      <c r="C205" s="17" t="str">
        <f>TEXT(sentiment[[#This Row],[date]],"MMM-YYYY")</f>
        <v>Nov-2025</v>
      </c>
      <c r="D205" s="18" t="s">
        <v>18</v>
      </c>
      <c r="E205" s="18" t="s">
        <v>15</v>
      </c>
      <c r="F205" s="18" t="s">
        <v>19</v>
      </c>
      <c r="G205" s="18">
        <v>2</v>
      </c>
      <c r="H205" s="19" t="s">
        <v>20</v>
      </c>
    </row>
    <row r="206" spans="1:8" ht="17.399999999999999" thickBot="1" x14ac:dyDescent="0.45">
      <c r="A206" s="16">
        <v>205</v>
      </c>
      <c r="B206" s="17">
        <v>45893</v>
      </c>
      <c r="C206" s="17" t="str">
        <f>TEXT(sentiment[[#This Row],[date]],"MMM-YYYY")</f>
        <v>Aug-2025</v>
      </c>
      <c r="D206" s="18" t="s">
        <v>21</v>
      </c>
      <c r="E206" s="18" t="s">
        <v>11</v>
      </c>
      <c r="F206" s="18" t="s">
        <v>27</v>
      </c>
      <c r="G206" s="18">
        <v>2</v>
      </c>
      <c r="H206" s="19" t="s">
        <v>20</v>
      </c>
    </row>
    <row r="207" spans="1:8" ht="17.399999999999999" thickBot="1" x14ac:dyDescent="0.45">
      <c r="A207" s="16">
        <v>206</v>
      </c>
      <c r="B207" s="17">
        <v>45759</v>
      </c>
      <c r="C207" s="17" t="str">
        <f>TEXT(sentiment[[#This Row],[date]],"MMM-YYYY")</f>
        <v>Apr-2025</v>
      </c>
      <c r="D207" s="18" t="s">
        <v>26</v>
      </c>
      <c r="E207" s="18" t="s">
        <v>8</v>
      </c>
      <c r="F207" s="18" t="s">
        <v>9</v>
      </c>
      <c r="G207" s="18">
        <v>4</v>
      </c>
      <c r="H207" s="19" t="s">
        <v>10</v>
      </c>
    </row>
    <row r="208" spans="1:8" ht="17.399999999999999" thickBot="1" x14ac:dyDescent="0.45">
      <c r="A208" s="16">
        <v>207</v>
      </c>
      <c r="B208" s="17">
        <v>45401</v>
      </c>
      <c r="C208" s="17" t="str">
        <f>TEXT(sentiment[[#This Row],[date]],"MMM-YYYY")</f>
        <v>Apr-2024</v>
      </c>
      <c r="D208" s="18" t="s">
        <v>17</v>
      </c>
      <c r="E208" s="18" t="s">
        <v>8</v>
      </c>
      <c r="F208" s="18" t="s">
        <v>24</v>
      </c>
      <c r="G208" s="18">
        <v>2</v>
      </c>
      <c r="H208" s="19" t="s">
        <v>20</v>
      </c>
    </row>
    <row r="209" spans="1:8" ht="17.399999999999999" thickBot="1" x14ac:dyDescent="0.45">
      <c r="A209" s="16">
        <v>208</v>
      </c>
      <c r="B209" s="17">
        <v>45594</v>
      </c>
      <c r="C209" s="17" t="str">
        <f>TEXT(sentiment[[#This Row],[date]],"MMM-YYYY")</f>
        <v>Oct-2024</v>
      </c>
      <c r="D209" s="18" t="s">
        <v>14</v>
      </c>
      <c r="E209" s="18" t="s">
        <v>11</v>
      </c>
      <c r="F209" s="18" t="s">
        <v>27</v>
      </c>
      <c r="G209" s="18">
        <v>2</v>
      </c>
      <c r="H209" s="19" t="s">
        <v>20</v>
      </c>
    </row>
    <row r="210" spans="1:8" ht="17.399999999999999" thickBot="1" x14ac:dyDescent="0.45">
      <c r="A210" s="16">
        <v>209</v>
      </c>
      <c r="B210" s="17">
        <v>45871</v>
      </c>
      <c r="C210" s="17" t="str">
        <f>TEXT(sentiment[[#This Row],[date]],"MMM-YYYY")</f>
        <v>Aug-2025</v>
      </c>
      <c r="D210" s="18" t="s">
        <v>26</v>
      </c>
      <c r="E210" s="18" t="s">
        <v>11</v>
      </c>
      <c r="F210" s="18" t="s">
        <v>19</v>
      </c>
      <c r="G210" s="18">
        <v>1</v>
      </c>
      <c r="H210" s="19" t="s">
        <v>20</v>
      </c>
    </row>
    <row r="211" spans="1:8" ht="17.399999999999999" thickBot="1" x14ac:dyDescent="0.45">
      <c r="A211" s="16">
        <v>210</v>
      </c>
      <c r="B211" s="17">
        <v>45585</v>
      </c>
      <c r="C211" s="17" t="str">
        <f>TEXT(sentiment[[#This Row],[date]],"MMM-YYYY")</f>
        <v>Oct-2024</v>
      </c>
      <c r="D211" s="18" t="s">
        <v>26</v>
      </c>
      <c r="E211" s="18" t="s">
        <v>15</v>
      </c>
      <c r="F211" s="18" t="s">
        <v>30</v>
      </c>
      <c r="G211" s="18">
        <v>4</v>
      </c>
      <c r="H211" s="19" t="s">
        <v>10</v>
      </c>
    </row>
    <row r="212" spans="1:8" ht="17.399999999999999" thickBot="1" x14ac:dyDescent="0.45">
      <c r="A212" s="16">
        <v>211</v>
      </c>
      <c r="B212" s="17">
        <v>45943</v>
      </c>
      <c r="C212" s="17" t="str">
        <f>TEXT(sentiment[[#This Row],[date]],"MMM-YYYY")</f>
        <v>Oct-2025</v>
      </c>
      <c r="D212" s="18" t="s">
        <v>17</v>
      </c>
      <c r="E212" s="18" t="s">
        <v>11</v>
      </c>
      <c r="F212" s="18" t="s">
        <v>23</v>
      </c>
      <c r="G212" s="18">
        <v>1</v>
      </c>
      <c r="H212" s="19" t="s">
        <v>20</v>
      </c>
    </row>
    <row r="213" spans="1:8" ht="17.399999999999999" thickBot="1" x14ac:dyDescent="0.45">
      <c r="A213" s="16">
        <v>212</v>
      </c>
      <c r="B213" s="17">
        <v>45935</v>
      </c>
      <c r="C213" s="17" t="str">
        <f>TEXT(sentiment[[#This Row],[date]],"MMM-YYYY")</f>
        <v>Oct-2025</v>
      </c>
      <c r="D213" s="18" t="s">
        <v>14</v>
      </c>
      <c r="E213" s="18" t="s">
        <v>11</v>
      </c>
      <c r="F213" s="18" t="s">
        <v>33</v>
      </c>
      <c r="G213" s="18">
        <v>3</v>
      </c>
      <c r="H213" s="19" t="s">
        <v>10</v>
      </c>
    </row>
    <row r="214" spans="1:8" ht="17.399999999999999" thickBot="1" x14ac:dyDescent="0.45">
      <c r="A214" s="16">
        <v>213</v>
      </c>
      <c r="B214" s="17">
        <v>45326</v>
      </c>
      <c r="C214" s="17" t="str">
        <f>TEXT(sentiment[[#This Row],[date]],"MMM-YYYY")</f>
        <v>Feb-2024</v>
      </c>
      <c r="D214" s="18" t="s">
        <v>18</v>
      </c>
      <c r="E214" s="18" t="s">
        <v>8</v>
      </c>
      <c r="F214" s="18" t="s">
        <v>25</v>
      </c>
      <c r="G214" s="18">
        <v>2</v>
      </c>
      <c r="H214" s="19" t="s">
        <v>20</v>
      </c>
    </row>
    <row r="215" spans="1:8" ht="17.399999999999999" thickBot="1" x14ac:dyDescent="0.45">
      <c r="A215" s="16">
        <v>214</v>
      </c>
      <c r="B215" s="17">
        <v>45626</v>
      </c>
      <c r="C215" s="17" t="str">
        <f>TEXT(sentiment[[#This Row],[date]],"MMM-YYYY")</f>
        <v>Nov-2024</v>
      </c>
      <c r="D215" s="18" t="s">
        <v>7</v>
      </c>
      <c r="E215" s="18" t="s">
        <v>8</v>
      </c>
      <c r="F215" s="18" t="s">
        <v>16</v>
      </c>
      <c r="G215" s="18">
        <v>5</v>
      </c>
      <c r="H215" s="19" t="s">
        <v>13</v>
      </c>
    </row>
    <row r="216" spans="1:8" ht="17.399999999999999" thickBot="1" x14ac:dyDescent="0.45">
      <c r="A216" s="16">
        <v>215</v>
      </c>
      <c r="B216" s="17">
        <v>45844</v>
      </c>
      <c r="C216" s="17" t="str">
        <f>TEXT(sentiment[[#This Row],[date]],"MMM-YYYY")</f>
        <v>Jul-2025</v>
      </c>
      <c r="D216" s="18" t="s">
        <v>21</v>
      </c>
      <c r="E216" s="18" t="s">
        <v>11</v>
      </c>
      <c r="F216" s="18" t="s">
        <v>12</v>
      </c>
      <c r="G216" s="18">
        <v>4</v>
      </c>
      <c r="H216" s="19" t="s">
        <v>13</v>
      </c>
    </row>
    <row r="217" spans="1:8" ht="17.399999999999999" thickBot="1" x14ac:dyDescent="0.45">
      <c r="A217" s="16">
        <v>216</v>
      </c>
      <c r="B217" s="17">
        <v>45555</v>
      </c>
      <c r="C217" s="17" t="str">
        <f>TEXT(sentiment[[#This Row],[date]],"MMM-YYYY")</f>
        <v>Sep-2024</v>
      </c>
      <c r="D217" s="18" t="s">
        <v>26</v>
      </c>
      <c r="E217" s="18" t="s">
        <v>8</v>
      </c>
      <c r="F217" s="18" t="s">
        <v>23</v>
      </c>
      <c r="G217" s="18">
        <v>1</v>
      </c>
      <c r="H217" s="19" t="s">
        <v>20</v>
      </c>
    </row>
    <row r="218" spans="1:8" ht="17.399999999999999" thickBot="1" x14ac:dyDescent="0.45">
      <c r="A218" s="16">
        <v>217</v>
      </c>
      <c r="B218" s="17">
        <v>45409</v>
      </c>
      <c r="C218" s="17" t="str">
        <f>TEXT(sentiment[[#This Row],[date]],"MMM-YYYY")</f>
        <v>Apr-2024</v>
      </c>
      <c r="D218" s="18" t="s">
        <v>22</v>
      </c>
      <c r="E218" s="18" t="s">
        <v>15</v>
      </c>
      <c r="F218" s="18" t="s">
        <v>9</v>
      </c>
      <c r="G218" s="18">
        <v>4</v>
      </c>
      <c r="H218" s="19" t="s">
        <v>10</v>
      </c>
    </row>
    <row r="219" spans="1:8" ht="17.399999999999999" thickBot="1" x14ac:dyDescent="0.45">
      <c r="A219" s="16">
        <v>218</v>
      </c>
      <c r="B219" s="17">
        <v>45862</v>
      </c>
      <c r="C219" s="17" t="str">
        <f>TEXT(sentiment[[#This Row],[date]],"MMM-YYYY")</f>
        <v>Jul-2025</v>
      </c>
      <c r="D219" s="18" t="s">
        <v>21</v>
      </c>
      <c r="E219" s="18" t="s">
        <v>15</v>
      </c>
      <c r="F219" s="18" t="s">
        <v>32</v>
      </c>
      <c r="G219" s="18">
        <v>5</v>
      </c>
      <c r="H219" s="19" t="s">
        <v>13</v>
      </c>
    </row>
    <row r="220" spans="1:8" ht="17.399999999999999" thickBot="1" x14ac:dyDescent="0.45">
      <c r="A220" s="16">
        <v>219</v>
      </c>
      <c r="B220" s="17">
        <v>45841</v>
      </c>
      <c r="C220" s="17" t="str">
        <f>TEXT(sentiment[[#This Row],[date]],"MMM-YYYY")</f>
        <v>Jul-2025</v>
      </c>
      <c r="D220" s="18" t="s">
        <v>14</v>
      </c>
      <c r="E220" s="18" t="s">
        <v>8</v>
      </c>
      <c r="F220" s="18" t="s">
        <v>28</v>
      </c>
      <c r="G220" s="18">
        <v>5</v>
      </c>
      <c r="H220" s="19" t="s">
        <v>13</v>
      </c>
    </row>
    <row r="221" spans="1:8" ht="17.399999999999999" thickBot="1" x14ac:dyDescent="0.45">
      <c r="A221" s="16">
        <v>220</v>
      </c>
      <c r="B221" s="17">
        <v>45890</v>
      </c>
      <c r="C221" s="17" t="str">
        <f>TEXT(sentiment[[#This Row],[date]],"MMM-YYYY")</f>
        <v>Aug-2025</v>
      </c>
      <c r="D221" s="18" t="s">
        <v>22</v>
      </c>
      <c r="E221" s="18" t="s">
        <v>11</v>
      </c>
      <c r="F221" s="18" t="s">
        <v>31</v>
      </c>
      <c r="G221" s="18">
        <v>4</v>
      </c>
      <c r="H221" s="19" t="s">
        <v>10</v>
      </c>
    </row>
    <row r="222" spans="1:8" ht="17.399999999999999" thickBot="1" x14ac:dyDescent="0.45">
      <c r="A222" s="16">
        <v>221</v>
      </c>
      <c r="B222" s="17">
        <v>45774</v>
      </c>
      <c r="C222" s="17" t="str">
        <f>TEXT(sentiment[[#This Row],[date]],"MMM-YYYY")</f>
        <v>Apr-2025</v>
      </c>
      <c r="D222" s="18" t="s">
        <v>14</v>
      </c>
      <c r="E222" s="18" t="s">
        <v>11</v>
      </c>
      <c r="F222" s="18" t="s">
        <v>12</v>
      </c>
      <c r="G222" s="18">
        <v>4</v>
      </c>
      <c r="H222" s="19" t="s">
        <v>13</v>
      </c>
    </row>
    <row r="223" spans="1:8" ht="17.399999999999999" thickBot="1" x14ac:dyDescent="0.45">
      <c r="A223" s="16">
        <v>222</v>
      </c>
      <c r="B223" s="17">
        <v>45955</v>
      </c>
      <c r="C223" s="17" t="str">
        <f>TEXT(sentiment[[#This Row],[date]],"MMM-YYYY")</f>
        <v>Oct-2025</v>
      </c>
      <c r="D223" s="18" t="s">
        <v>14</v>
      </c>
      <c r="E223" s="18" t="s">
        <v>11</v>
      </c>
      <c r="F223" s="18" t="s">
        <v>27</v>
      </c>
      <c r="G223" s="18">
        <v>1</v>
      </c>
      <c r="H223" s="19" t="s">
        <v>20</v>
      </c>
    </row>
    <row r="224" spans="1:8" ht="17.399999999999999" thickBot="1" x14ac:dyDescent="0.45">
      <c r="A224" s="16">
        <v>223</v>
      </c>
      <c r="B224" s="17">
        <v>45956</v>
      </c>
      <c r="C224" s="17" t="str">
        <f>TEXT(sentiment[[#This Row],[date]],"MMM-YYYY")</f>
        <v>Oct-2025</v>
      </c>
      <c r="D224" s="18" t="s">
        <v>22</v>
      </c>
      <c r="E224" s="18" t="s">
        <v>15</v>
      </c>
      <c r="F224" s="18" t="s">
        <v>9</v>
      </c>
      <c r="G224" s="18">
        <v>4</v>
      </c>
      <c r="H224" s="19" t="s">
        <v>10</v>
      </c>
    </row>
    <row r="225" spans="1:8" ht="17.399999999999999" thickBot="1" x14ac:dyDescent="0.45">
      <c r="A225" s="16">
        <v>224</v>
      </c>
      <c r="B225" s="17">
        <v>45603</v>
      </c>
      <c r="C225" s="17" t="str">
        <f>TEXT(sentiment[[#This Row],[date]],"MMM-YYYY")</f>
        <v>Nov-2024</v>
      </c>
      <c r="D225" s="18" t="s">
        <v>22</v>
      </c>
      <c r="E225" s="18" t="s">
        <v>15</v>
      </c>
      <c r="F225" s="18" t="s">
        <v>29</v>
      </c>
      <c r="G225" s="18">
        <v>4</v>
      </c>
      <c r="H225" s="19" t="s">
        <v>13</v>
      </c>
    </row>
    <row r="226" spans="1:8" ht="17.399999999999999" thickBot="1" x14ac:dyDescent="0.45">
      <c r="A226" s="16">
        <v>225</v>
      </c>
      <c r="B226" s="17">
        <v>45689</v>
      </c>
      <c r="C226" s="17" t="str">
        <f>TEXT(sentiment[[#This Row],[date]],"MMM-YYYY")</f>
        <v>Feb-2025</v>
      </c>
      <c r="D226" s="18" t="s">
        <v>22</v>
      </c>
      <c r="E226" s="18" t="s">
        <v>8</v>
      </c>
      <c r="F226" s="18" t="s">
        <v>12</v>
      </c>
      <c r="G226" s="18">
        <v>4</v>
      </c>
      <c r="H226" s="19" t="s">
        <v>13</v>
      </c>
    </row>
    <row r="227" spans="1:8" ht="17.399999999999999" thickBot="1" x14ac:dyDescent="0.45">
      <c r="A227" s="16">
        <v>226</v>
      </c>
      <c r="B227" s="17">
        <v>45716</v>
      </c>
      <c r="C227" s="17" t="str">
        <f>TEXT(sentiment[[#This Row],[date]],"MMM-YYYY")</f>
        <v>Feb-2025</v>
      </c>
      <c r="D227" s="18" t="s">
        <v>7</v>
      </c>
      <c r="E227" s="18" t="s">
        <v>15</v>
      </c>
      <c r="F227" s="18" t="s">
        <v>27</v>
      </c>
      <c r="G227" s="18">
        <v>1</v>
      </c>
      <c r="H227" s="19" t="s">
        <v>20</v>
      </c>
    </row>
    <row r="228" spans="1:8" ht="17.399999999999999" thickBot="1" x14ac:dyDescent="0.45">
      <c r="A228" s="16">
        <v>227</v>
      </c>
      <c r="B228" s="17">
        <v>45578</v>
      </c>
      <c r="C228" s="17" t="str">
        <f>TEXT(sentiment[[#This Row],[date]],"MMM-YYYY")</f>
        <v>Oct-2024</v>
      </c>
      <c r="D228" s="18" t="s">
        <v>14</v>
      </c>
      <c r="E228" s="18" t="s">
        <v>11</v>
      </c>
      <c r="F228" s="18" t="s">
        <v>31</v>
      </c>
      <c r="G228" s="18">
        <v>4</v>
      </c>
      <c r="H228" s="19" t="s">
        <v>10</v>
      </c>
    </row>
    <row r="229" spans="1:8" ht="17.399999999999999" thickBot="1" x14ac:dyDescent="0.45">
      <c r="A229" s="16">
        <v>228</v>
      </c>
      <c r="B229" s="17">
        <v>45747</v>
      </c>
      <c r="C229" s="17" t="str">
        <f>TEXT(sentiment[[#This Row],[date]],"MMM-YYYY")</f>
        <v>Mar-2025</v>
      </c>
      <c r="D229" s="18" t="s">
        <v>17</v>
      </c>
      <c r="E229" s="18" t="s">
        <v>8</v>
      </c>
      <c r="F229" s="18" t="s">
        <v>29</v>
      </c>
      <c r="G229" s="18">
        <v>5</v>
      </c>
      <c r="H229" s="19" t="s">
        <v>13</v>
      </c>
    </row>
    <row r="230" spans="1:8" ht="17.399999999999999" thickBot="1" x14ac:dyDescent="0.45">
      <c r="A230" s="16">
        <v>229</v>
      </c>
      <c r="B230" s="17">
        <v>45849</v>
      </c>
      <c r="C230" s="17" t="str">
        <f>TEXT(sentiment[[#This Row],[date]],"MMM-YYYY")</f>
        <v>Jul-2025</v>
      </c>
      <c r="D230" s="18" t="s">
        <v>7</v>
      </c>
      <c r="E230" s="18" t="s">
        <v>8</v>
      </c>
      <c r="F230" s="18" t="s">
        <v>33</v>
      </c>
      <c r="G230" s="18">
        <v>4</v>
      </c>
      <c r="H230" s="19" t="s">
        <v>10</v>
      </c>
    </row>
    <row r="231" spans="1:8" ht="17.399999999999999" thickBot="1" x14ac:dyDescent="0.45">
      <c r="A231" s="16">
        <v>230</v>
      </c>
      <c r="B231" s="17">
        <v>45486</v>
      </c>
      <c r="C231" s="17" t="str">
        <f>TEXT(sentiment[[#This Row],[date]],"MMM-YYYY")</f>
        <v>Jul-2024</v>
      </c>
      <c r="D231" s="18" t="s">
        <v>14</v>
      </c>
      <c r="E231" s="18" t="s">
        <v>8</v>
      </c>
      <c r="F231" s="18" t="s">
        <v>19</v>
      </c>
      <c r="G231" s="18">
        <v>2</v>
      </c>
      <c r="H231" s="19" t="s">
        <v>20</v>
      </c>
    </row>
    <row r="232" spans="1:8" ht="17.399999999999999" thickBot="1" x14ac:dyDescent="0.45">
      <c r="A232" s="16">
        <v>231</v>
      </c>
      <c r="B232" s="17">
        <v>45949</v>
      </c>
      <c r="C232" s="17" t="str">
        <f>TEXT(sentiment[[#This Row],[date]],"MMM-YYYY")</f>
        <v>Oct-2025</v>
      </c>
      <c r="D232" s="18" t="s">
        <v>7</v>
      </c>
      <c r="E232" s="18" t="s">
        <v>11</v>
      </c>
      <c r="F232" s="18" t="s">
        <v>33</v>
      </c>
      <c r="G232" s="18">
        <v>3</v>
      </c>
      <c r="H232" s="19" t="s">
        <v>10</v>
      </c>
    </row>
    <row r="233" spans="1:8" ht="17.399999999999999" thickBot="1" x14ac:dyDescent="0.45">
      <c r="A233" s="16">
        <v>232</v>
      </c>
      <c r="B233" s="17">
        <v>45541</v>
      </c>
      <c r="C233" s="17" t="str">
        <f>TEXT(sentiment[[#This Row],[date]],"MMM-YYYY")</f>
        <v>Sep-2024</v>
      </c>
      <c r="D233" s="18" t="s">
        <v>17</v>
      </c>
      <c r="E233" s="18" t="s">
        <v>11</v>
      </c>
      <c r="F233" s="18" t="s">
        <v>16</v>
      </c>
      <c r="G233" s="18">
        <v>5</v>
      </c>
      <c r="H233" s="19" t="s">
        <v>13</v>
      </c>
    </row>
    <row r="234" spans="1:8" ht="17.399999999999999" thickBot="1" x14ac:dyDescent="0.45">
      <c r="A234" s="16">
        <v>233</v>
      </c>
      <c r="B234" s="17">
        <v>45892</v>
      </c>
      <c r="C234" s="17" t="str">
        <f>TEXT(sentiment[[#This Row],[date]],"MMM-YYYY")</f>
        <v>Aug-2025</v>
      </c>
      <c r="D234" s="18" t="s">
        <v>17</v>
      </c>
      <c r="E234" s="18" t="s">
        <v>15</v>
      </c>
      <c r="F234" s="18" t="s">
        <v>28</v>
      </c>
      <c r="G234" s="18">
        <v>4</v>
      </c>
      <c r="H234" s="19" t="s">
        <v>13</v>
      </c>
    </row>
    <row r="235" spans="1:8" ht="17.399999999999999" thickBot="1" x14ac:dyDescent="0.45">
      <c r="A235" s="16">
        <v>234</v>
      </c>
      <c r="B235" s="17">
        <v>45575</v>
      </c>
      <c r="C235" s="17" t="str">
        <f>TEXT(sentiment[[#This Row],[date]],"MMM-YYYY")</f>
        <v>Oct-2024</v>
      </c>
      <c r="D235" s="18" t="s">
        <v>26</v>
      </c>
      <c r="E235" s="18" t="s">
        <v>15</v>
      </c>
      <c r="F235" s="18" t="s">
        <v>16</v>
      </c>
      <c r="G235" s="18">
        <v>4</v>
      </c>
      <c r="H235" s="19" t="s">
        <v>13</v>
      </c>
    </row>
    <row r="236" spans="1:8" ht="17.399999999999999" thickBot="1" x14ac:dyDescent="0.45">
      <c r="A236" s="16">
        <v>235</v>
      </c>
      <c r="B236" s="17">
        <v>45470</v>
      </c>
      <c r="C236" s="17" t="str">
        <f>TEXT(sentiment[[#This Row],[date]],"MMM-YYYY")</f>
        <v>Jun-2024</v>
      </c>
      <c r="D236" s="18" t="s">
        <v>14</v>
      </c>
      <c r="E236" s="18" t="s">
        <v>11</v>
      </c>
      <c r="F236" s="18" t="s">
        <v>33</v>
      </c>
      <c r="G236" s="18">
        <v>4</v>
      </c>
      <c r="H236" s="19" t="s">
        <v>10</v>
      </c>
    </row>
    <row r="237" spans="1:8" ht="17.399999999999999" thickBot="1" x14ac:dyDescent="0.45">
      <c r="A237" s="16">
        <v>236</v>
      </c>
      <c r="B237" s="17">
        <v>45658</v>
      </c>
      <c r="C237" s="17" t="str">
        <f>TEXT(sentiment[[#This Row],[date]],"MMM-YYYY")</f>
        <v>Jan-2025</v>
      </c>
      <c r="D237" s="18" t="s">
        <v>26</v>
      </c>
      <c r="E237" s="18" t="s">
        <v>15</v>
      </c>
      <c r="F237" s="18" t="s">
        <v>12</v>
      </c>
      <c r="G237" s="18">
        <v>4</v>
      </c>
      <c r="H237" s="19" t="s">
        <v>13</v>
      </c>
    </row>
    <row r="238" spans="1:8" ht="17.399999999999999" thickBot="1" x14ac:dyDescent="0.45">
      <c r="A238" s="16">
        <v>237</v>
      </c>
      <c r="B238" s="17">
        <v>45470</v>
      </c>
      <c r="C238" s="17" t="str">
        <f>TEXT(sentiment[[#This Row],[date]],"MMM-YYYY")</f>
        <v>Jun-2024</v>
      </c>
      <c r="D238" s="18" t="s">
        <v>21</v>
      </c>
      <c r="E238" s="18" t="s">
        <v>15</v>
      </c>
      <c r="F238" s="18" t="s">
        <v>25</v>
      </c>
      <c r="G238" s="18">
        <v>1</v>
      </c>
      <c r="H238" s="19" t="s">
        <v>20</v>
      </c>
    </row>
    <row r="239" spans="1:8" ht="17.399999999999999" thickBot="1" x14ac:dyDescent="0.45">
      <c r="A239" s="16">
        <v>238</v>
      </c>
      <c r="B239" s="17">
        <v>45830</v>
      </c>
      <c r="C239" s="17" t="str">
        <f>TEXT(sentiment[[#This Row],[date]],"MMM-YYYY")</f>
        <v>Jun-2025</v>
      </c>
      <c r="D239" s="18" t="s">
        <v>14</v>
      </c>
      <c r="E239" s="18" t="s">
        <v>11</v>
      </c>
      <c r="F239" s="18" t="s">
        <v>33</v>
      </c>
      <c r="G239" s="18">
        <v>4</v>
      </c>
      <c r="H239" s="19" t="s">
        <v>10</v>
      </c>
    </row>
    <row r="240" spans="1:8" ht="17.399999999999999" thickBot="1" x14ac:dyDescent="0.45">
      <c r="A240" s="16">
        <v>239</v>
      </c>
      <c r="B240" s="17">
        <v>45662</v>
      </c>
      <c r="C240" s="17" t="str">
        <f>TEXT(sentiment[[#This Row],[date]],"MMM-YYYY")</f>
        <v>Jan-2025</v>
      </c>
      <c r="D240" s="18" t="s">
        <v>18</v>
      </c>
      <c r="E240" s="18" t="s">
        <v>11</v>
      </c>
      <c r="F240" s="18" t="s">
        <v>19</v>
      </c>
      <c r="G240" s="18">
        <v>2</v>
      </c>
      <c r="H240" s="19" t="s">
        <v>20</v>
      </c>
    </row>
    <row r="241" spans="1:8" ht="17.399999999999999" thickBot="1" x14ac:dyDescent="0.45">
      <c r="A241" s="16">
        <v>240</v>
      </c>
      <c r="B241" s="17">
        <v>45921</v>
      </c>
      <c r="C241" s="17" t="str">
        <f>TEXT(sentiment[[#This Row],[date]],"MMM-YYYY")</f>
        <v>Sep-2025</v>
      </c>
      <c r="D241" s="18" t="s">
        <v>14</v>
      </c>
      <c r="E241" s="18" t="s">
        <v>11</v>
      </c>
      <c r="F241" s="18" t="s">
        <v>24</v>
      </c>
      <c r="G241" s="18">
        <v>1</v>
      </c>
      <c r="H241" s="19" t="s">
        <v>20</v>
      </c>
    </row>
    <row r="242" spans="1:8" ht="17.399999999999999" thickBot="1" x14ac:dyDescent="0.45">
      <c r="A242" s="16">
        <v>241</v>
      </c>
      <c r="B242" s="17">
        <v>45950</v>
      </c>
      <c r="C242" s="17" t="str">
        <f>TEXT(sentiment[[#This Row],[date]],"MMM-YYYY")</f>
        <v>Oct-2025</v>
      </c>
      <c r="D242" s="18" t="s">
        <v>14</v>
      </c>
      <c r="E242" s="18" t="s">
        <v>15</v>
      </c>
      <c r="F242" s="18" t="s">
        <v>27</v>
      </c>
      <c r="G242" s="18">
        <v>2</v>
      </c>
      <c r="H242" s="19" t="s">
        <v>20</v>
      </c>
    </row>
    <row r="243" spans="1:8" ht="17.399999999999999" thickBot="1" x14ac:dyDescent="0.45">
      <c r="A243" s="16">
        <v>242</v>
      </c>
      <c r="B243" s="17">
        <v>45402</v>
      </c>
      <c r="C243" s="17" t="str">
        <f>TEXT(sentiment[[#This Row],[date]],"MMM-YYYY")</f>
        <v>Apr-2024</v>
      </c>
      <c r="D243" s="18" t="s">
        <v>22</v>
      </c>
      <c r="E243" s="18" t="s">
        <v>11</v>
      </c>
      <c r="F243" s="18" t="s">
        <v>27</v>
      </c>
      <c r="G243" s="18">
        <v>2</v>
      </c>
      <c r="H243" s="19" t="s">
        <v>20</v>
      </c>
    </row>
    <row r="244" spans="1:8" ht="17.399999999999999" thickBot="1" x14ac:dyDescent="0.45">
      <c r="A244" s="16">
        <v>243</v>
      </c>
      <c r="B244" s="17">
        <v>45621</v>
      </c>
      <c r="C244" s="17" t="str">
        <f>TEXT(sentiment[[#This Row],[date]],"MMM-YYYY")</f>
        <v>Nov-2024</v>
      </c>
      <c r="D244" s="18" t="s">
        <v>18</v>
      </c>
      <c r="E244" s="18" t="s">
        <v>15</v>
      </c>
      <c r="F244" s="18" t="s">
        <v>29</v>
      </c>
      <c r="G244" s="18">
        <v>4</v>
      </c>
      <c r="H244" s="19" t="s">
        <v>13</v>
      </c>
    </row>
    <row r="245" spans="1:8" ht="17.399999999999999" thickBot="1" x14ac:dyDescent="0.45">
      <c r="A245" s="16">
        <v>244</v>
      </c>
      <c r="B245" s="17">
        <v>45931</v>
      </c>
      <c r="C245" s="17" t="str">
        <f>TEXT(sentiment[[#This Row],[date]],"MMM-YYYY")</f>
        <v>Oct-2025</v>
      </c>
      <c r="D245" s="18" t="s">
        <v>7</v>
      </c>
      <c r="E245" s="18" t="s">
        <v>11</v>
      </c>
      <c r="F245" s="18" t="s">
        <v>12</v>
      </c>
      <c r="G245" s="18">
        <v>5</v>
      </c>
      <c r="H245" s="19" t="s">
        <v>13</v>
      </c>
    </row>
    <row r="246" spans="1:8" ht="17.399999999999999" thickBot="1" x14ac:dyDescent="0.45">
      <c r="A246" s="16">
        <v>245</v>
      </c>
      <c r="B246" s="17">
        <v>45682</v>
      </c>
      <c r="C246" s="17" t="str">
        <f>TEXT(sentiment[[#This Row],[date]],"MMM-YYYY")</f>
        <v>Jan-2025</v>
      </c>
      <c r="D246" s="18" t="s">
        <v>18</v>
      </c>
      <c r="E246" s="18" t="s">
        <v>11</v>
      </c>
      <c r="F246" s="18" t="s">
        <v>31</v>
      </c>
      <c r="G246" s="18">
        <v>4</v>
      </c>
      <c r="H246" s="19" t="s">
        <v>10</v>
      </c>
    </row>
    <row r="247" spans="1:8" ht="17.399999999999999" thickBot="1" x14ac:dyDescent="0.45">
      <c r="A247" s="16">
        <v>246</v>
      </c>
      <c r="B247" s="17">
        <v>45393</v>
      </c>
      <c r="C247" s="17" t="str">
        <f>TEXT(sentiment[[#This Row],[date]],"MMM-YYYY")</f>
        <v>Apr-2024</v>
      </c>
      <c r="D247" s="18" t="s">
        <v>26</v>
      </c>
      <c r="E247" s="18" t="s">
        <v>11</v>
      </c>
      <c r="F247" s="18" t="s">
        <v>19</v>
      </c>
      <c r="G247" s="18">
        <v>2</v>
      </c>
      <c r="H247" s="19" t="s">
        <v>20</v>
      </c>
    </row>
    <row r="248" spans="1:8" ht="17.399999999999999" thickBot="1" x14ac:dyDescent="0.45">
      <c r="A248" s="16">
        <v>247</v>
      </c>
      <c r="B248" s="17">
        <v>45732</v>
      </c>
      <c r="C248" s="17" t="str">
        <f>TEXT(sentiment[[#This Row],[date]],"MMM-YYYY")</f>
        <v>Mar-2025</v>
      </c>
      <c r="D248" s="18" t="s">
        <v>22</v>
      </c>
      <c r="E248" s="18" t="s">
        <v>15</v>
      </c>
      <c r="F248" s="18" t="s">
        <v>34</v>
      </c>
      <c r="G248" s="18">
        <v>3</v>
      </c>
      <c r="H248" s="19" t="s">
        <v>10</v>
      </c>
    </row>
    <row r="249" spans="1:8" ht="17.399999999999999" thickBot="1" x14ac:dyDescent="0.45">
      <c r="A249" s="16">
        <v>248</v>
      </c>
      <c r="B249" s="17">
        <v>45700</v>
      </c>
      <c r="C249" s="17" t="str">
        <f>TEXT(sentiment[[#This Row],[date]],"MMM-YYYY")</f>
        <v>Feb-2025</v>
      </c>
      <c r="D249" s="18" t="s">
        <v>22</v>
      </c>
      <c r="E249" s="18" t="s">
        <v>11</v>
      </c>
      <c r="F249" s="18" t="s">
        <v>19</v>
      </c>
      <c r="G249" s="18">
        <v>2</v>
      </c>
      <c r="H249" s="19" t="s">
        <v>20</v>
      </c>
    </row>
    <row r="250" spans="1:8" ht="17.399999999999999" thickBot="1" x14ac:dyDescent="0.45">
      <c r="A250" s="16">
        <v>249</v>
      </c>
      <c r="B250" s="17">
        <v>45612</v>
      </c>
      <c r="C250" s="17" t="str">
        <f>TEXT(sentiment[[#This Row],[date]],"MMM-YYYY")</f>
        <v>Nov-2024</v>
      </c>
      <c r="D250" s="18" t="s">
        <v>7</v>
      </c>
      <c r="E250" s="18" t="s">
        <v>8</v>
      </c>
      <c r="F250" s="18" t="s">
        <v>23</v>
      </c>
      <c r="G250" s="18">
        <v>2</v>
      </c>
      <c r="H250" s="19" t="s">
        <v>20</v>
      </c>
    </row>
    <row r="251" spans="1:8" ht="17.399999999999999" thickBot="1" x14ac:dyDescent="0.45">
      <c r="A251" s="16">
        <v>250</v>
      </c>
      <c r="B251" s="17">
        <v>45360</v>
      </c>
      <c r="C251" s="17" t="str">
        <f>TEXT(sentiment[[#This Row],[date]],"MMM-YYYY")</f>
        <v>Mar-2024</v>
      </c>
      <c r="D251" s="18" t="s">
        <v>14</v>
      </c>
      <c r="E251" s="18" t="s">
        <v>15</v>
      </c>
      <c r="F251" s="18" t="s">
        <v>29</v>
      </c>
      <c r="G251" s="18">
        <v>5</v>
      </c>
      <c r="H251" s="19" t="s">
        <v>13</v>
      </c>
    </row>
    <row r="252" spans="1:8" ht="17.399999999999999" thickBot="1" x14ac:dyDescent="0.45">
      <c r="A252" s="16">
        <v>251</v>
      </c>
      <c r="B252" s="17">
        <v>45673</v>
      </c>
      <c r="C252" s="17" t="str">
        <f>TEXT(sentiment[[#This Row],[date]],"MMM-YYYY")</f>
        <v>Jan-2025</v>
      </c>
      <c r="D252" s="18" t="s">
        <v>26</v>
      </c>
      <c r="E252" s="18" t="s">
        <v>15</v>
      </c>
      <c r="F252" s="18" t="s">
        <v>24</v>
      </c>
      <c r="G252" s="18">
        <v>1</v>
      </c>
      <c r="H252" s="19" t="s">
        <v>20</v>
      </c>
    </row>
    <row r="253" spans="1:8" ht="17.399999999999999" thickBot="1" x14ac:dyDescent="0.45">
      <c r="A253" s="16">
        <v>252</v>
      </c>
      <c r="B253" s="17">
        <v>45978</v>
      </c>
      <c r="C253" s="17" t="str">
        <f>TEXT(sentiment[[#This Row],[date]],"MMM-YYYY")</f>
        <v>Nov-2025</v>
      </c>
      <c r="D253" s="18" t="s">
        <v>14</v>
      </c>
      <c r="E253" s="18" t="s">
        <v>8</v>
      </c>
      <c r="F253" s="18" t="s">
        <v>28</v>
      </c>
      <c r="G253" s="18">
        <v>5</v>
      </c>
      <c r="H253" s="19" t="s">
        <v>13</v>
      </c>
    </row>
    <row r="254" spans="1:8" ht="17.399999999999999" thickBot="1" x14ac:dyDescent="0.45">
      <c r="A254" s="16">
        <v>253</v>
      </c>
      <c r="B254" s="17">
        <v>45344</v>
      </c>
      <c r="C254" s="17" t="str">
        <f>TEXT(sentiment[[#This Row],[date]],"MMM-YYYY")</f>
        <v>Feb-2024</v>
      </c>
      <c r="D254" s="18" t="s">
        <v>21</v>
      </c>
      <c r="E254" s="18" t="s">
        <v>11</v>
      </c>
      <c r="F254" s="18" t="s">
        <v>31</v>
      </c>
      <c r="G254" s="18">
        <v>4</v>
      </c>
      <c r="H254" s="19" t="s">
        <v>10</v>
      </c>
    </row>
    <row r="255" spans="1:8" ht="17.399999999999999" thickBot="1" x14ac:dyDescent="0.45">
      <c r="A255" s="16">
        <v>254</v>
      </c>
      <c r="B255" s="17">
        <v>45883</v>
      </c>
      <c r="C255" s="17" t="str">
        <f>TEXT(sentiment[[#This Row],[date]],"MMM-YYYY")</f>
        <v>Aug-2025</v>
      </c>
      <c r="D255" s="18" t="s">
        <v>18</v>
      </c>
      <c r="E255" s="18" t="s">
        <v>15</v>
      </c>
      <c r="F255" s="18" t="s">
        <v>25</v>
      </c>
      <c r="G255" s="18">
        <v>1</v>
      </c>
      <c r="H255" s="19" t="s">
        <v>20</v>
      </c>
    </row>
    <row r="256" spans="1:8" ht="17.399999999999999" thickBot="1" x14ac:dyDescent="0.45">
      <c r="A256" s="16">
        <v>255</v>
      </c>
      <c r="B256" s="17">
        <v>45521</v>
      </c>
      <c r="C256" s="17" t="str">
        <f>TEXT(sentiment[[#This Row],[date]],"MMM-YYYY")</f>
        <v>Aug-2024</v>
      </c>
      <c r="D256" s="18" t="s">
        <v>26</v>
      </c>
      <c r="E256" s="18" t="s">
        <v>15</v>
      </c>
      <c r="F256" s="18" t="s">
        <v>31</v>
      </c>
      <c r="G256" s="18">
        <v>4</v>
      </c>
      <c r="H256" s="19" t="s">
        <v>10</v>
      </c>
    </row>
    <row r="257" spans="1:8" ht="17.399999999999999" thickBot="1" x14ac:dyDescent="0.45">
      <c r="A257" s="16">
        <v>256</v>
      </c>
      <c r="B257" s="17">
        <v>45409</v>
      </c>
      <c r="C257" s="17" t="str">
        <f>TEXT(sentiment[[#This Row],[date]],"MMM-YYYY")</f>
        <v>Apr-2024</v>
      </c>
      <c r="D257" s="18" t="s">
        <v>26</v>
      </c>
      <c r="E257" s="18" t="s">
        <v>8</v>
      </c>
      <c r="F257" s="18" t="s">
        <v>30</v>
      </c>
      <c r="G257" s="18">
        <v>4</v>
      </c>
      <c r="H257" s="19" t="s">
        <v>10</v>
      </c>
    </row>
    <row r="258" spans="1:8" ht="17.399999999999999" thickBot="1" x14ac:dyDescent="0.45">
      <c r="A258" s="16">
        <v>257</v>
      </c>
      <c r="B258" s="17">
        <v>45866</v>
      </c>
      <c r="C258" s="17" t="str">
        <f>TEXT(sentiment[[#This Row],[date]],"MMM-YYYY")</f>
        <v>Jul-2025</v>
      </c>
      <c r="D258" s="18" t="s">
        <v>26</v>
      </c>
      <c r="E258" s="18" t="s">
        <v>11</v>
      </c>
      <c r="F258" s="18" t="s">
        <v>12</v>
      </c>
      <c r="G258" s="18">
        <v>5</v>
      </c>
      <c r="H258" s="19" t="s">
        <v>13</v>
      </c>
    </row>
    <row r="259" spans="1:8" ht="17.399999999999999" thickBot="1" x14ac:dyDescent="0.45">
      <c r="A259" s="16">
        <v>258</v>
      </c>
      <c r="B259" s="17">
        <v>45915</v>
      </c>
      <c r="C259" s="17" t="str">
        <f>TEXT(sentiment[[#This Row],[date]],"MMM-YYYY")</f>
        <v>Sep-2025</v>
      </c>
      <c r="D259" s="18" t="s">
        <v>7</v>
      </c>
      <c r="E259" s="18" t="s">
        <v>11</v>
      </c>
      <c r="F259" s="18" t="s">
        <v>31</v>
      </c>
      <c r="G259" s="18">
        <v>3</v>
      </c>
      <c r="H259" s="19" t="s">
        <v>10</v>
      </c>
    </row>
    <row r="260" spans="1:8" ht="17.399999999999999" thickBot="1" x14ac:dyDescent="0.45">
      <c r="A260" s="16">
        <v>259</v>
      </c>
      <c r="B260" s="17">
        <v>45571</v>
      </c>
      <c r="C260" s="17" t="str">
        <f>TEXT(sentiment[[#This Row],[date]],"MMM-YYYY")</f>
        <v>Oct-2024</v>
      </c>
      <c r="D260" s="18" t="s">
        <v>7</v>
      </c>
      <c r="E260" s="18" t="s">
        <v>8</v>
      </c>
      <c r="F260" s="18" t="s">
        <v>28</v>
      </c>
      <c r="G260" s="18">
        <v>4</v>
      </c>
      <c r="H260" s="19" t="s">
        <v>13</v>
      </c>
    </row>
    <row r="261" spans="1:8" ht="17.399999999999999" thickBot="1" x14ac:dyDescent="0.45">
      <c r="A261" s="16">
        <v>260</v>
      </c>
      <c r="B261" s="17">
        <v>45477</v>
      </c>
      <c r="C261" s="17" t="str">
        <f>TEXT(sentiment[[#This Row],[date]],"MMM-YYYY")</f>
        <v>Jul-2024</v>
      </c>
      <c r="D261" s="18" t="s">
        <v>26</v>
      </c>
      <c r="E261" s="18" t="s">
        <v>15</v>
      </c>
      <c r="F261" s="18" t="s">
        <v>24</v>
      </c>
      <c r="G261" s="18">
        <v>1</v>
      </c>
      <c r="H261" s="19" t="s">
        <v>20</v>
      </c>
    </row>
    <row r="262" spans="1:8" ht="17.399999999999999" thickBot="1" x14ac:dyDescent="0.45">
      <c r="A262" s="16">
        <v>261</v>
      </c>
      <c r="B262" s="17">
        <v>45363</v>
      </c>
      <c r="C262" s="17" t="str">
        <f>TEXT(sentiment[[#This Row],[date]],"MMM-YYYY")</f>
        <v>Mar-2024</v>
      </c>
      <c r="D262" s="18" t="s">
        <v>17</v>
      </c>
      <c r="E262" s="18" t="s">
        <v>11</v>
      </c>
      <c r="F262" s="18" t="s">
        <v>33</v>
      </c>
      <c r="G262" s="18">
        <v>4</v>
      </c>
      <c r="H262" s="19" t="s">
        <v>10</v>
      </c>
    </row>
    <row r="263" spans="1:8" ht="17.399999999999999" thickBot="1" x14ac:dyDescent="0.45">
      <c r="A263" s="16">
        <v>262</v>
      </c>
      <c r="B263" s="17">
        <v>45677</v>
      </c>
      <c r="C263" s="17" t="str">
        <f>TEXT(sentiment[[#This Row],[date]],"MMM-YYYY")</f>
        <v>Jan-2025</v>
      </c>
      <c r="D263" s="18" t="s">
        <v>22</v>
      </c>
      <c r="E263" s="18" t="s">
        <v>8</v>
      </c>
      <c r="F263" s="18" t="s">
        <v>28</v>
      </c>
      <c r="G263" s="18">
        <v>4</v>
      </c>
      <c r="H263" s="19" t="s">
        <v>13</v>
      </c>
    </row>
    <row r="264" spans="1:8" ht="17.399999999999999" thickBot="1" x14ac:dyDescent="0.45">
      <c r="A264" s="16">
        <v>263</v>
      </c>
      <c r="B264" s="17">
        <v>45611</v>
      </c>
      <c r="C264" s="17" t="str">
        <f>TEXT(sentiment[[#This Row],[date]],"MMM-YYYY")</f>
        <v>Nov-2024</v>
      </c>
      <c r="D264" s="18" t="s">
        <v>7</v>
      </c>
      <c r="E264" s="18" t="s">
        <v>8</v>
      </c>
      <c r="F264" s="18" t="s">
        <v>12</v>
      </c>
      <c r="G264" s="18">
        <v>5</v>
      </c>
      <c r="H264" s="19" t="s">
        <v>13</v>
      </c>
    </row>
    <row r="265" spans="1:8" ht="17.399999999999999" thickBot="1" x14ac:dyDescent="0.45">
      <c r="A265" s="16">
        <v>264</v>
      </c>
      <c r="B265" s="17">
        <v>45345</v>
      </c>
      <c r="C265" s="17" t="str">
        <f>TEXT(sentiment[[#This Row],[date]],"MMM-YYYY")</f>
        <v>Feb-2024</v>
      </c>
      <c r="D265" s="18" t="s">
        <v>17</v>
      </c>
      <c r="E265" s="18" t="s">
        <v>15</v>
      </c>
      <c r="F265" s="18" t="s">
        <v>30</v>
      </c>
      <c r="G265" s="18">
        <v>3</v>
      </c>
      <c r="H265" s="19" t="s">
        <v>10</v>
      </c>
    </row>
    <row r="266" spans="1:8" ht="17.399999999999999" thickBot="1" x14ac:dyDescent="0.45">
      <c r="A266" s="16">
        <v>265</v>
      </c>
      <c r="B266" s="17">
        <v>45570</v>
      </c>
      <c r="C266" s="17" t="str">
        <f>TEXT(sentiment[[#This Row],[date]],"MMM-YYYY")</f>
        <v>Oct-2024</v>
      </c>
      <c r="D266" s="18" t="s">
        <v>22</v>
      </c>
      <c r="E266" s="18" t="s">
        <v>11</v>
      </c>
      <c r="F266" s="18" t="s">
        <v>32</v>
      </c>
      <c r="G266" s="18">
        <v>4</v>
      </c>
      <c r="H266" s="19" t="s">
        <v>13</v>
      </c>
    </row>
    <row r="267" spans="1:8" ht="17.399999999999999" thickBot="1" x14ac:dyDescent="0.45">
      <c r="A267" s="16">
        <v>266</v>
      </c>
      <c r="B267" s="17">
        <v>45716</v>
      </c>
      <c r="C267" s="17" t="str">
        <f>TEXT(sentiment[[#This Row],[date]],"MMM-YYYY")</f>
        <v>Feb-2025</v>
      </c>
      <c r="D267" s="18" t="s">
        <v>21</v>
      </c>
      <c r="E267" s="18" t="s">
        <v>15</v>
      </c>
      <c r="F267" s="18" t="s">
        <v>24</v>
      </c>
      <c r="G267" s="18">
        <v>2</v>
      </c>
      <c r="H267" s="19" t="s">
        <v>20</v>
      </c>
    </row>
    <row r="268" spans="1:8" ht="17.399999999999999" thickBot="1" x14ac:dyDescent="0.45">
      <c r="A268" s="16">
        <v>267</v>
      </c>
      <c r="B268" s="17">
        <v>45732</v>
      </c>
      <c r="C268" s="17" t="str">
        <f>TEXT(sentiment[[#This Row],[date]],"MMM-YYYY")</f>
        <v>Mar-2025</v>
      </c>
      <c r="D268" s="18" t="s">
        <v>14</v>
      </c>
      <c r="E268" s="18" t="s">
        <v>8</v>
      </c>
      <c r="F268" s="18" t="s">
        <v>12</v>
      </c>
      <c r="G268" s="18">
        <v>5</v>
      </c>
      <c r="H268" s="19" t="s">
        <v>13</v>
      </c>
    </row>
    <row r="269" spans="1:8" ht="17.399999999999999" thickBot="1" x14ac:dyDescent="0.45">
      <c r="A269" s="16">
        <v>268</v>
      </c>
      <c r="B269" s="17">
        <v>45338</v>
      </c>
      <c r="C269" s="17" t="str">
        <f>TEXT(sentiment[[#This Row],[date]],"MMM-YYYY")</f>
        <v>Feb-2024</v>
      </c>
      <c r="D269" s="18" t="s">
        <v>17</v>
      </c>
      <c r="E269" s="18" t="s">
        <v>8</v>
      </c>
      <c r="F269" s="18" t="s">
        <v>24</v>
      </c>
      <c r="G269" s="18">
        <v>2</v>
      </c>
      <c r="H269" s="19" t="s">
        <v>20</v>
      </c>
    </row>
    <row r="270" spans="1:8" ht="17.399999999999999" thickBot="1" x14ac:dyDescent="0.45">
      <c r="A270" s="16">
        <v>269</v>
      </c>
      <c r="B270" s="17">
        <v>45501</v>
      </c>
      <c r="C270" s="17" t="str">
        <f>TEXT(sentiment[[#This Row],[date]],"MMM-YYYY")</f>
        <v>Jul-2024</v>
      </c>
      <c r="D270" s="18" t="s">
        <v>21</v>
      </c>
      <c r="E270" s="18" t="s">
        <v>15</v>
      </c>
      <c r="F270" s="18" t="s">
        <v>16</v>
      </c>
      <c r="G270" s="18">
        <v>4</v>
      </c>
      <c r="H270" s="19" t="s">
        <v>13</v>
      </c>
    </row>
    <row r="271" spans="1:8" ht="17.399999999999999" thickBot="1" x14ac:dyDescent="0.45">
      <c r="A271" s="16">
        <v>270</v>
      </c>
      <c r="B271" s="17">
        <v>45627</v>
      </c>
      <c r="C271" s="17" t="str">
        <f>TEXT(sentiment[[#This Row],[date]],"MMM-YYYY")</f>
        <v>Dec-2024</v>
      </c>
      <c r="D271" s="18" t="s">
        <v>14</v>
      </c>
      <c r="E271" s="18" t="s">
        <v>15</v>
      </c>
      <c r="F271" s="18" t="s">
        <v>27</v>
      </c>
      <c r="G271" s="18">
        <v>2</v>
      </c>
      <c r="H271" s="19" t="s">
        <v>20</v>
      </c>
    </row>
    <row r="272" spans="1:8" ht="17.399999999999999" thickBot="1" x14ac:dyDescent="0.45">
      <c r="A272" s="16">
        <v>271</v>
      </c>
      <c r="B272" s="17">
        <v>45471</v>
      </c>
      <c r="C272" s="17" t="str">
        <f>TEXT(sentiment[[#This Row],[date]],"MMM-YYYY")</f>
        <v>Jun-2024</v>
      </c>
      <c r="D272" s="18" t="s">
        <v>17</v>
      </c>
      <c r="E272" s="18" t="s">
        <v>8</v>
      </c>
      <c r="F272" s="18" t="s">
        <v>30</v>
      </c>
      <c r="G272" s="18">
        <v>4</v>
      </c>
      <c r="H272" s="19" t="s">
        <v>10</v>
      </c>
    </row>
    <row r="273" spans="1:8" ht="17.399999999999999" thickBot="1" x14ac:dyDescent="0.45">
      <c r="A273" s="16">
        <v>272</v>
      </c>
      <c r="B273" s="17">
        <v>45804</v>
      </c>
      <c r="C273" s="17" t="str">
        <f>TEXT(sentiment[[#This Row],[date]],"MMM-YYYY")</f>
        <v>May-2025</v>
      </c>
      <c r="D273" s="18" t="s">
        <v>18</v>
      </c>
      <c r="E273" s="18" t="s">
        <v>11</v>
      </c>
      <c r="F273" s="18" t="s">
        <v>31</v>
      </c>
      <c r="G273" s="18">
        <v>3</v>
      </c>
      <c r="H273" s="19" t="s">
        <v>10</v>
      </c>
    </row>
    <row r="274" spans="1:8" ht="17.399999999999999" thickBot="1" x14ac:dyDescent="0.45">
      <c r="A274" s="16">
        <v>273</v>
      </c>
      <c r="B274" s="17">
        <v>45335</v>
      </c>
      <c r="C274" s="17" t="str">
        <f>TEXT(sentiment[[#This Row],[date]],"MMM-YYYY")</f>
        <v>Feb-2024</v>
      </c>
      <c r="D274" s="18" t="s">
        <v>22</v>
      </c>
      <c r="E274" s="18" t="s">
        <v>15</v>
      </c>
      <c r="F274" s="18" t="s">
        <v>32</v>
      </c>
      <c r="G274" s="18">
        <v>5</v>
      </c>
      <c r="H274" s="19" t="s">
        <v>13</v>
      </c>
    </row>
    <row r="275" spans="1:8" ht="17.399999999999999" thickBot="1" x14ac:dyDescent="0.45">
      <c r="A275" s="16">
        <v>274</v>
      </c>
      <c r="B275" s="17">
        <v>45881</v>
      </c>
      <c r="C275" s="17" t="str">
        <f>TEXT(sentiment[[#This Row],[date]],"MMM-YYYY")</f>
        <v>Aug-2025</v>
      </c>
      <c r="D275" s="18" t="s">
        <v>22</v>
      </c>
      <c r="E275" s="18" t="s">
        <v>11</v>
      </c>
      <c r="F275" s="18" t="s">
        <v>32</v>
      </c>
      <c r="G275" s="18">
        <v>5</v>
      </c>
      <c r="H275" s="19" t="s">
        <v>13</v>
      </c>
    </row>
    <row r="276" spans="1:8" ht="17.399999999999999" thickBot="1" x14ac:dyDescent="0.45">
      <c r="A276" s="16">
        <v>275</v>
      </c>
      <c r="B276" s="17">
        <v>45588</v>
      </c>
      <c r="C276" s="17" t="str">
        <f>TEXT(sentiment[[#This Row],[date]],"MMM-YYYY")</f>
        <v>Oct-2024</v>
      </c>
      <c r="D276" s="18" t="s">
        <v>14</v>
      </c>
      <c r="E276" s="18" t="s">
        <v>8</v>
      </c>
      <c r="F276" s="18" t="s">
        <v>33</v>
      </c>
      <c r="G276" s="18">
        <v>4</v>
      </c>
      <c r="H276" s="19" t="s">
        <v>10</v>
      </c>
    </row>
    <row r="277" spans="1:8" ht="17.399999999999999" thickBot="1" x14ac:dyDescent="0.45">
      <c r="A277" s="16">
        <v>276</v>
      </c>
      <c r="B277" s="17">
        <v>45924</v>
      </c>
      <c r="C277" s="17" t="str">
        <f>TEXT(sentiment[[#This Row],[date]],"MMM-YYYY")</f>
        <v>Sep-2025</v>
      </c>
      <c r="D277" s="18" t="s">
        <v>22</v>
      </c>
      <c r="E277" s="18" t="s">
        <v>11</v>
      </c>
      <c r="F277" s="18" t="s">
        <v>23</v>
      </c>
      <c r="G277" s="18">
        <v>1</v>
      </c>
      <c r="H277" s="19" t="s">
        <v>20</v>
      </c>
    </row>
    <row r="278" spans="1:8" ht="17.399999999999999" thickBot="1" x14ac:dyDescent="0.45">
      <c r="A278" s="16">
        <v>277</v>
      </c>
      <c r="B278" s="17">
        <v>45400</v>
      </c>
      <c r="C278" s="17" t="str">
        <f>TEXT(sentiment[[#This Row],[date]],"MMM-YYYY")</f>
        <v>Apr-2024</v>
      </c>
      <c r="D278" s="18" t="s">
        <v>17</v>
      </c>
      <c r="E278" s="18" t="s">
        <v>8</v>
      </c>
      <c r="F278" s="18" t="s">
        <v>12</v>
      </c>
      <c r="G278" s="18">
        <v>5</v>
      </c>
      <c r="H278" s="19" t="s">
        <v>13</v>
      </c>
    </row>
    <row r="279" spans="1:8" ht="17.399999999999999" thickBot="1" x14ac:dyDescent="0.45">
      <c r="A279" s="16">
        <v>278</v>
      </c>
      <c r="B279" s="17">
        <v>45697</v>
      </c>
      <c r="C279" s="17" t="str">
        <f>TEXT(sentiment[[#This Row],[date]],"MMM-YYYY")</f>
        <v>Feb-2025</v>
      </c>
      <c r="D279" s="18" t="s">
        <v>26</v>
      </c>
      <c r="E279" s="18" t="s">
        <v>8</v>
      </c>
      <c r="F279" s="18" t="s">
        <v>23</v>
      </c>
      <c r="G279" s="18">
        <v>1</v>
      </c>
      <c r="H279" s="19" t="s">
        <v>20</v>
      </c>
    </row>
    <row r="280" spans="1:8" ht="17.399999999999999" thickBot="1" x14ac:dyDescent="0.45">
      <c r="A280" s="16">
        <v>279</v>
      </c>
      <c r="B280" s="17">
        <v>45464</v>
      </c>
      <c r="C280" s="17" t="str">
        <f>TEXT(sentiment[[#This Row],[date]],"MMM-YYYY")</f>
        <v>Jun-2024</v>
      </c>
      <c r="D280" s="18" t="s">
        <v>14</v>
      </c>
      <c r="E280" s="18" t="s">
        <v>11</v>
      </c>
      <c r="F280" s="18" t="s">
        <v>29</v>
      </c>
      <c r="G280" s="18">
        <v>5</v>
      </c>
      <c r="H280" s="19" t="s">
        <v>13</v>
      </c>
    </row>
    <row r="281" spans="1:8" ht="17.399999999999999" thickBot="1" x14ac:dyDescent="0.45">
      <c r="A281" s="16">
        <v>280</v>
      </c>
      <c r="B281" s="17">
        <v>45649</v>
      </c>
      <c r="C281" s="17" t="str">
        <f>TEXT(sentiment[[#This Row],[date]],"MMM-YYYY")</f>
        <v>Dec-2024</v>
      </c>
      <c r="D281" s="18" t="s">
        <v>21</v>
      </c>
      <c r="E281" s="18" t="s">
        <v>11</v>
      </c>
      <c r="F281" s="18" t="s">
        <v>9</v>
      </c>
      <c r="G281" s="18">
        <v>3</v>
      </c>
      <c r="H281" s="19" t="s">
        <v>10</v>
      </c>
    </row>
    <row r="282" spans="1:8" ht="17.399999999999999" thickBot="1" x14ac:dyDescent="0.45">
      <c r="A282" s="16">
        <v>281</v>
      </c>
      <c r="B282" s="17">
        <v>45441</v>
      </c>
      <c r="C282" s="17" t="str">
        <f>TEXT(sentiment[[#This Row],[date]],"MMM-YYYY")</f>
        <v>May-2024</v>
      </c>
      <c r="D282" s="18" t="s">
        <v>21</v>
      </c>
      <c r="E282" s="18" t="s">
        <v>15</v>
      </c>
      <c r="F282" s="18" t="s">
        <v>16</v>
      </c>
      <c r="G282" s="18">
        <v>4</v>
      </c>
      <c r="H282" s="19" t="s">
        <v>13</v>
      </c>
    </row>
    <row r="283" spans="1:8" ht="17.399999999999999" thickBot="1" x14ac:dyDescent="0.45">
      <c r="A283" s="16">
        <v>282</v>
      </c>
      <c r="B283" s="17">
        <v>45963</v>
      </c>
      <c r="C283" s="17" t="str">
        <f>TEXT(sentiment[[#This Row],[date]],"MMM-YYYY")</f>
        <v>Nov-2025</v>
      </c>
      <c r="D283" s="18" t="s">
        <v>14</v>
      </c>
      <c r="E283" s="18" t="s">
        <v>15</v>
      </c>
      <c r="F283" s="18" t="s">
        <v>34</v>
      </c>
      <c r="G283" s="18">
        <v>3</v>
      </c>
      <c r="H283" s="19" t="s">
        <v>10</v>
      </c>
    </row>
    <row r="284" spans="1:8" ht="17.399999999999999" thickBot="1" x14ac:dyDescent="0.45">
      <c r="A284" s="16">
        <v>283</v>
      </c>
      <c r="B284" s="17">
        <v>45989</v>
      </c>
      <c r="C284" s="17" t="str">
        <f>TEXT(sentiment[[#This Row],[date]],"MMM-YYYY")</f>
        <v>Nov-2025</v>
      </c>
      <c r="D284" s="18" t="s">
        <v>18</v>
      </c>
      <c r="E284" s="18" t="s">
        <v>11</v>
      </c>
      <c r="F284" s="18" t="s">
        <v>24</v>
      </c>
      <c r="G284" s="18">
        <v>2</v>
      </c>
      <c r="H284" s="19" t="s">
        <v>20</v>
      </c>
    </row>
    <row r="285" spans="1:8" ht="17.399999999999999" thickBot="1" x14ac:dyDescent="0.45">
      <c r="A285" s="16">
        <v>284</v>
      </c>
      <c r="B285" s="17">
        <v>45446</v>
      </c>
      <c r="C285" s="17" t="str">
        <f>TEXT(sentiment[[#This Row],[date]],"MMM-YYYY")</f>
        <v>Jun-2024</v>
      </c>
      <c r="D285" s="18" t="s">
        <v>22</v>
      </c>
      <c r="E285" s="18" t="s">
        <v>15</v>
      </c>
      <c r="F285" s="18" t="s">
        <v>27</v>
      </c>
      <c r="G285" s="18">
        <v>2</v>
      </c>
      <c r="H285" s="19" t="s">
        <v>20</v>
      </c>
    </row>
    <row r="286" spans="1:8" ht="17.399999999999999" thickBot="1" x14ac:dyDescent="0.45">
      <c r="A286" s="16">
        <v>285</v>
      </c>
      <c r="B286" s="17">
        <v>45573</v>
      </c>
      <c r="C286" s="17" t="str">
        <f>TEXT(sentiment[[#This Row],[date]],"MMM-YYYY")</f>
        <v>Oct-2024</v>
      </c>
      <c r="D286" s="18" t="s">
        <v>18</v>
      </c>
      <c r="E286" s="18" t="s">
        <v>15</v>
      </c>
      <c r="F286" s="18" t="s">
        <v>23</v>
      </c>
      <c r="G286" s="18">
        <v>2</v>
      </c>
      <c r="H286" s="19" t="s">
        <v>20</v>
      </c>
    </row>
    <row r="287" spans="1:8" ht="17.399999999999999" thickBot="1" x14ac:dyDescent="0.45">
      <c r="A287" s="16">
        <v>286</v>
      </c>
      <c r="B287" s="17">
        <v>45609</v>
      </c>
      <c r="C287" s="17" t="str">
        <f>TEXT(sentiment[[#This Row],[date]],"MMM-YYYY")</f>
        <v>Nov-2024</v>
      </c>
      <c r="D287" s="18" t="s">
        <v>22</v>
      </c>
      <c r="E287" s="18" t="s">
        <v>8</v>
      </c>
      <c r="F287" s="18" t="s">
        <v>33</v>
      </c>
      <c r="G287" s="18">
        <v>3</v>
      </c>
      <c r="H287" s="19" t="s">
        <v>10</v>
      </c>
    </row>
    <row r="288" spans="1:8" ht="17.399999999999999" thickBot="1" x14ac:dyDescent="0.45">
      <c r="A288" s="16">
        <v>287</v>
      </c>
      <c r="B288" s="17">
        <v>45585</v>
      </c>
      <c r="C288" s="17" t="str">
        <f>TEXT(sentiment[[#This Row],[date]],"MMM-YYYY")</f>
        <v>Oct-2024</v>
      </c>
      <c r="D288" s="18" t="s">
        <v>14</v>
      </c>
      <c r="E288" s="18" t="s">
        <v>11</v>
      </c>
      <c r="F288" s="18" t="s">
        <v>29</v>
      </c>
      <c r="G288" s="18">
        <v>5</v>
      </c>
      <c r="H288" s="19" t="s">
        <v>13</v>
      </c>
    </row>
    <row r="289" spans="1:8" ht="17.399999999999999" thickBot="1" x14ac:dyDescent="0.45">
      <c r="A289" s="16">
        <v>288</v>
      </c>
      <c r="B289" s="17">
        <v>45765</v>
      </c>
      <c r="C289" s="17" t="str">
        <f>TEXT(sentiment[[#This Row],[date]],"MMM-YYYY")</f>
        <v>Apr-2025</v>
      </c>
      <c r="D289" s="18" t="s">
        <v>18</v>
      </c>
      <c r="E289" s="18" t="s">
        <v>11</v>
      </c>
      <c r="F289" s="18" t="s">
        <v>33</v>
      </c>
      <c r="G289" s="18">
        <v>4</v>
      </c>
      <c r="H289" s="19" t="s">
        <v>10</v>
      </c>
    </row>
    <row r="290" spans="1:8" ht="17.399999999999999" thickBot="1" x14ac:dyDescent="0.45">
      <c r="A290" s="16">
        <v>289</v>
      </c>
      <c r="B290" s="17">
        <v>45621</v>
      </c>
      <c r="C290" s="17" t="str">
        <f>TEXT(sentiment[[#This Row],[date]],"MMM-YYYY")</f>
        <v>Nov-2024</v>
      </c>
      <c r="D290" s="18" t="s">
        <v>18</v>
      </c>
      <c r="E290" s="18" t="s">
        <v>8</v>
      </c>
      <c r="F290" s="18" t="s">
        <v>24</v>
      </c>
      <c r="G290" s="18">
        <v>1</v>
      </c>
      <c r="H290" s="19" t="s">
        <v>20</v>
      </c>
    </row>
    <row r="291" spans="1:8" ht="17.399999999999999" thickBot="1" x14ac:dyDescent="0.45">
      <c r="A291" s="16">
        <v>290</v>
      </c>
      <c r="B291" s="17">
        <v>45753</v>
      </c>
      <c r="C291" s="17" t="str">
        <f>TEXT(sentiment[[#This Row],[date]],"MMM-YYYY")</f>
        <v>Apr-2025</v>
      </c>
      <c r="D291" s="18" t="s">
        <v>14</v>
      </c>
      <c r="E291" s="18" t="s">
        <v>8</v>
      </c>
      <c r="F291" s="18" t="s">
        <v>29</v>
      </c>
      <c r="G291" s="18">
        <v>4</v>
      </c>
      <c r="H291" s="19" t="s">
        <v>13</v>
      </c>
    </row>
    <row r="292" spans="1:8" ht="17.399999999999999" thickBot="1" x14ac:dyDescent="0.45">
      <c r="A292" s="16">
        <v>291</v>
      </c>
      <c r="B292" s="17">
        <v>45332</v>
      </c>
      <c r="C292" s="17" t="str">
        <f>TEXT(sentiment[[#This Row],[date]],"MMM-YYYY")</f>
        <v>Feb-2024</v>
      </c>
      <c r="D292" s="18" t="s">
        <v>17</v>
      </c>
      <c r="E292" s="18" t="s">
        <v>11</v>
      </c>
      <c r="F292" s="18" t="s">
        <v>34</v>
      </c>
      <c r="G292" s="18">
        <v>3</v>
      </c>
      <c r="H292" s="19" t="s">
        <v>10</v>
      </c>
    </row>
    <row r="293" spans="1:8" ht="17.399999999999999" thickBot="1" x14ac:dyDescent="0.45">
      <c r="A293" s="16">
        <v>292</v>
      </c>
      <c r="B293" s="17">
        <v>45664</v>
      </c>
      <c r="C293" s="17" t="str">
        <f>TEXT(sentiment[[#This Row],[date]],"MMM-YYYY")</f>
        <v>Jan-2025</v>
      </c>
      <c r="D293" s="18" t="s">
        <v>21</v>
      </c>
      <c r="E293" s="18" t="s">
        <v>8</v>
      </c>
      <c r="F293" s="18" t="s">
        <v>27</v>
      </c>
      <c r="G293" s="18">
        <v>1</v>
      </c>
      <c r="H293" s="19" t="s">
        <v>20</v>
      </c>
    </row>
    <row r="294" spans="1:8" ht="17.399999999999999" thickBot="1" x14ac:dyDescent="0.45">
      <c r="A294" s="16">
        <v>293</v>
      </c>
      <c r="B294" s="17">
        <v>45987</v>
      </c>
      <c r="C294" s="17" t="str">
        <f>TEXT(sentiment[[#This Row],[date]],"MMM-YYYY")</f>
        <v>Nov-2025</v>
      </c>
      <c r="D294" s="18" t="s">
        <v>18</v>
      </c>
      <c r="E294" s="18" t="s">
        <v>15</v>
      </c>
      <c r="F294" s="18" t="s">
        <v>23</v>
      </c>
      <c r="G294" s="18">
        <v>2</v>
      </c>
      <c r="H294" s="19" t="s">
        <v>20</v>
      </c>
    </row>
    <row r="295" spans="1:8" ht="17.399999999999999" thickBot="1" x14ac:dyDescent="0.45">
      <c r="A295" s="16">
        <v>294</v>
      </c>
      <c r="B295" s="17">
        <v>45388</v>
      </c>
      <c r="C295" s="17" t="str">
        <f>TEXT(sentiment[[#This Row],[date]],"MMM-YYYY")</f>
        <v>Apr-2024</v>
      </c>
      <c r="D295" s="18" t="s">
        <v>18</v>
      </c>
      <c r="E295" s="18" t="s">
        <v>11</v>
      </c>
      <c r="F295" s="18" t="s">
        <v>32</v>
      </c>
      <c r="G295" s="18">
        <v>5</v>
      </c>
      <c r="H295" s="19" t="s">
        <v>13</v>
      </c>
    </row>
    <row r="296" spans="1:8" ht="17.399999999999999" thickBot="1" x14ac:dyDescent="0.45">
      <c r="A296" s="16">
        <v>295</v>
      </c>
      <c r="B296" s="17">
        <v>45964</v>
      </c>
      <c r="C296" s="17" t="str">
        <f>TEXT(sentiment[[#This Row],[date]],"MMM-YYYY")</f>
        <v>Nov-2025</v>
      </c>
      <c r="D296" s="18" t="s">
        <v>18</v>
      </c>
      <c r="E296" s="18" t="s">
        <v>15</v>
      </c>
      <c r="F296" s="18" t="s">
        <v>23</v>
      </c>
      <c r="G296" s="18">
        <v>2</v>
      </c>
      <c r="H296" s="19" t="s">
        <v>20</v>
      </c>
    </row>
    <row r="297" spans="1:8" ht="17.399999999999999" thickBot="1" x14ac:dyDescent="0.45">
      <c r="A297" s="16">
        <v>296</v>
      </c>
      <c r="B297" s="17">
        <v>45650</v>
      </c>
      <c r="C297" s="17" t="str">
        <f>TEXT(sentiment[[#This Row],[date]],"MMM-YYYY")</f>
        <v>Dec-2024</v>
      </c>
      <c r="D297" s="18" t="s">
        <v>21</v>
      </c>
      <c r="E297" s="18" t="s">
        <v>11</v>
      </c>
      <c r="F297" s="18" t="s">
        <v>32</v>
      </c>
      <c r="G297" s="18">
        <v>4</v>
      </c>
      <c r="H297" s="19" t="s">
        <v>13</v>
      </c>
    </row>
    <row r="298" spans="1:8" ht="17.399999999999999" thickBot="1" x14ac:dyDescent="0.45">
      <c r="A298" s="16">
        <v>297</v>
      </c>
      <c r="B298" s="17">
        <v>45609</v>
      </c>
      <c r="C298" s="17" t="str">
        <f>TEXT(sentiment[[#This Row],[date]],"MMM-YYYY")</f>
        <v>Nov-2024</v>
      </c>
      <c r="D298" s="18" t="s">
        <v>18</v>
      </c>
      <c r="E298" s="18" t="s">
        <v>8</v>
      </c>
      <c r="F298" s="18" t="s">
        <v>28</v>
      </c>
      <c r="G298" s="18">
        <v>4</v>
      </c>
      <c r="H298" s="19" t="s">
        <v>13</v>
      </c>
    </row>
    <row r="299" spans="1:8" ht="17.399999999999999" thickBot="1" x14ac:dyDescent="0.45">
      <c r="A299" s="16">
        <v>298</v>
      </c>
      <c r="B299" s="17">
        <v>45953</v>
      </c>
      <c r="C299" s="17" t="str">
        <f>TEXT(sentiment[[#This Row],[date]],"MMM-YYYY")</f>
        <v>Oct-2025</v>
      </c>
      <c r="D299" s="18" t="s">
        <v>7</v>
      </c>
      <c r="E299" s="18" t="s">
        <v>8</v>
      </c>
      <c r="F299" s="18" t="s">
        <v>12</v>
      </c>
      <c r="G299" s="18">
        <v>4</v>
      </c>
      <c r="H299" s="19" t="s">
        <v>13</v>
      </c>
    </row>
    <row r="300" spans="1:8" ht="17.399999999999999" thickBot="1" x14ac:dyDescent="0.45">
      <c r="A300" s="16">
        <v>299</v>
      </c>
      <c r="B300" s="17">
        <v>45663</v>
      </c>
      <c r="C300" s="17" t="str">
        <f>TEXT(sentiment[[#This Row],[date]],"MMM-YYYY")</f>
        <v>Jan-2025</v>
      </c>
      <c r="D300" s="18" t="s">
        <v>21</v>
      </c>
      <c r="E300" s="18" t="s">
        <v>15</v>
      </c>
      <c r="F300" s="18" t="s">
        <v>25</v>
      </c>
      <c r="G300" s="18">
        <v>1</v>
      </c>
      <c r="H300" s="19" t="s">
        <v>20</v>
      </c>
    </row>
    <row r="301" spans="1:8" ht="17.399999999999999" thickBot="1" x14ac:dyDescent="0.45">
      <c r="A301" s="16">
        <v>300</v>
      </c>
      <c r="B301" s="17">
        <v>45488</v>
      </c>
      <c r="C301" s="17" t="str">
        <f>TEXT(sentiment[[#This Row],[date]],"MMM-YYYY")</f>
        <v>Jul-2024</v>
      </c>
      <c r="D301" s="18" t="s">
        <v>17</v>
      </c>
      <c r="E301" s="18" t="s">
        <v>15</v>
      </c>
      <c r="F301" s="18" t="s">
        <v>25</v>
      </c>
      <c r="G301" s="18">
        <v>2</v>
      </c>
      <c r="H301" s="19" t="s">
        <v>20</v>
      </c>
    </row>
    <row r="302" spans="1:8" ht="17.399999999999999" thickBot="1" x14ac:dyDescent="0.45">
      <c r="A302" s="16">
        <v>301</v>
      </c>
      <c r="B302" s="17">
        <v>45395</v>
      </c>
      <c r="C302" s="17" t="str">
        <f>TEXT(sentiment[[#This Row],[date]],"MMM-YYYY")</f>
        <v>Apr-2024</v>
      </c>
      <c r="D302" s="18" t="s">
        <v>18</v>
      </c>
      <c r="E302" s="18" t="s">
        <v>11</v>
      </c>
      <c r="F302" s="18" t="s">
        <v>12</v>
      </c>
      <c r="G302" s="18">
        <v>5</v>
      </c>
      <c r="H302" s="19" t="s">
        <v>13</v>
      </c>
    </row>
    <row r="303" spans="1:8" ht="17.399999999999999" thickBot="1" x14ac:dyDescent="0.45">
      <c r="A303" s="16">
        <v>302</v>
      </c>
      <c r="B303" s="17">
        <v>45924</v>
      </c>
      <c r="C303" s="17" t="str">
        <f>TEXT(sentiment[[#This Row],[date]],"MMM-YYYY")</f>
        <v>Sep-2025</v>
      </c>
      <c r="D303" s="18" t="s">
        <v>17</v>
      </c>
      <c r="E303" s="18" t="s">
        <v>11</v>
      </c>
      <c r="F303" s="18" t="s">
        <v>32</v>
      </c>
      <c r="G303" s="18">
        <v>5</v>
      </c>
      <c r="H303" s="19" t="s">
        <v>13</v>
      </c>
    </row>
    <row r="304" spans="1:8" ht="17.399999999999999" thickBot="1" x14ac:dyDescent="0.45">
      <c r="A304" s="16">
        <v>303</v>
      </c>
      <c r="B304" s="17">
        <v>45477</v>
      </c>
      <c r="C304" s="17" t="str">
        <f>TEXT(sentiment[[#This Row],[date]],"MMM-YYYY")</f>
        <v>Jul-2024</v>
      </c>
      <c r="D304" s="18" t="s">
        <v>26</v>
      </c>
      <c r="E304" s="18" t="s">
        <v>11</v>
      </c>
      <c r="F304" s="18" t="s">
        <v>12</v>
      </c>
      <c r="G304" s="18">
        <v>4</v>
      </c>
      <c r="H304" s="19" t="s">
        <v>13</v>
      </c>
    </row>
    <row r="305" spans="1:8" ht="17.399999999999999" thickBot="1" x14ac:dyDescent="0.45">
      <c r="A305" s="16">
        <v>304</v>
      </c>
      <c r="B305" s="17">
        <v>45336</v>
      </c>
      <c r="C305" s="17" t="str">
        <f>TEXT(sentiment[[#This Row],[date]],"MMM-YYYY")</f>
        <v>Feb-2024</v>
      </c>
      <c r="D305" s="18" t="s">
        <v>22</v>
      </c>
      <c r="E305" s="18" t="s">
        <v>8</v>
      </c>
      <c r="F305" s="18" t="s">
        <v>16</v>
      </c>
      <c r="G305" s="18">
        <v>5</v>
      </c>
      <c r="H305" s="19" t="s">
        <v>13</v>
      </c>
    </row>
    <row r="306" spans="1:8" ht="17.399999999999999" thickBot="1" x14ac:dyDescent="0.45">
      <c r="A306" s="16">
        <v>305</v>
      </c>
      <c r="B306" s="17">
        <v>45751</v>
      </c>
      <c r="C306" s="17" t="str">
        <f>TEXT(sentiment[[#This Row],[date]],"MMM-YYYY")</f>
        <v>Apr-2025</v>
      </c>
      <c r="D306" s="18" t="s">
        <v>17</v>
      </c>
      <c r="E306" s="18" t="s">
        <v>11</v>
      </c>
      <c r="F306" s="18" t="s">
        <v>25</v>
      </c>
      <c r="G306" s="18">
        <v>2</v>
      </c>
      <c r="H306" s="19" t="s">
        <v>20</v>
      </c>
    </row>
    <row r="307" spans="1:8" ht="17.399999999999999" thickBot="1" x14ac:dyDescent="0.45">
      <c r="A307" s="16">
        <v>306</v>
      </c>
      <c r="B307" s="17">
        <v>45490</v>
      </c>
      <c r="C307" s="17" t="str">
        <f>TEXT(sentiment[[#This Row],[date]],"MMM-YYYY")</f>
        <v>Jul-2024</v>
      </c>
      <c r="D307" s="18" t="s">
        <v>21</v>
      </c>
      <c r="E307" s="18" t="s">
        <v>11</v>
      </c>
      <c r="F307" s="18" t="s">
        <v>24</v>
      </c>
      <c r="G307" s="18">
        <v>2</v>
      </c>
      <c r="H307" s="19" t="s">
        <v>20</v>
      </c>
    </row>
    <row r="308" spans="1:8" ht="17.399999999999999" thickBot="1" x14ac:dyDescent="0.45">
      <c r="A308" s="16">
        <v>307</v>
      </c>
      <c r="B308" s="17">
        <v>45580</v>
      </c>
      <c r="C308" s="17" t="str">
        <f>TEXT(sentiment[[#This Row],[date]],"MMM-YYYY")</f>
        <v>Oct-2024</v>
      </c>
      <c r="D308" s="18" t="s">
        <v>26</v>
      </c>
      <c r="E308" s="18" t="s">
        <v>8</v>
      </c>
      <c r="F308" s="18" t="s">
        <v>24</v>
      </c>
      <c r="G308" s="18">
        <v>2</v>
      </c>
      <c r="H308" s="19" t="s">
        <v>20</v>
      </c>
    </row>
    <row r="309" spans="1:8" ht="17.399999999999999" thickBot="1" x14ac:dyDescent="0.45">
      <c r="A309" s="16">
        <v>308</v>
      </c>
      <c r="B309" s="17">
        <v>45457</v>
      </c>
      <c r="C309" s="17" t="str">
        <f>TEXT(sentiment[[#This Row],[date]],"MMM-YYYY")</f>
        <v>Jun-2024</v>
      </c>
      <c r="D309" s="18" t="s">
        <v>26</v>
      </c>
      <c r="E309" s="18" t="s">
        <v>15</v>
      </c>
      <c r="F309" s="18" t="s">
        <v>30</v>
      </c>
      <c r="G309" s="18">
        <v>4</v>
      </c>
      <c r="H309" s="19" t="s">
        <v>10</v>
      </c>
    </row>
    <row r="310" spans="1:8" ht="17.399999999999999" thickBot="1" x14ac:dyDescent="0.45">
      <c r="A310" s="16">
        <v>309</v>
      </c>
      <c r="B310" s="17">
        <v>45345</v>
      </c>
      <c r="C310" s="17" t="str">
        <f>TEXT(sentiment[[#This Row],[date]],"MMM-YYYY")</f>
        <v>Feb-2024</v>
      </c>
      <c r="D310" s="18" t="s">
        <v>7</v>
      </c>
      <c r="E310" s="18" t="s">
        <v>8</v>
      </c>
      <c r="F310" s="18" t="s">
        <v>28</v>
      </c>
      <c r="G310" s="18">
        <v>5</v>
      </c>
      <c r="H310" s="19" t="s">
        <v>13</v>
      </c>
    </row>
    <row r="311" spans="1:8" ht="17.399999999999999" thickBot="1" x14ac:dyDescent="0.45">
      <c r="A311" s="16">
        <v>310</v>
      </c>
      <c r="B311" s="17">
        <v>45820</v>
      </c>
      <c r="C311" s="17" t="str">
        <f>TEXT(sentiment[[#This Row],[date]],"MMM-YYYY")</f>
        <v>Jun-2025</v>
      </c>
      <c r="D311" s="18" t="s">
        <v>26</v>
      </c>
      <c r="E311" s="18" t="s">
        <v>15</v>
      </c>
      <c r="F311" s="18" t="s">
        <v>31</v>
      </c>
      <c r="G311" s="18">
        <v>3</v>
      </c>
      <c r="H311" s="19" t="s">
        <v>10</v>
      </c>
    </row>
    <row r="312" spans="1:8" ht="17.399999999999999" thickBot="1" x14ac:dyDescent="0.45">
      <c r="A312" s="16">
        <v>311</v>
      </c>
      <c r="B312" s="17">
        <v>45571</v>
      </c>
      <c r="C312" s="17" t="str">
        <f>TEXT(sentiment[[#This Row],[date]],"MMM-YYYY")</f>
        <v>Oct-2024</v>
      </c>
      <c r="D312" s="18" t="s">
        <v>22</v>
      </c>
      <c r="E312" s="18" t="s">
        <v>11</v>
      </c>
      <c r="F312" s="18" t="s">
        <v>16</v>
      </c>
      <c r="G312" s="18">
        <v>4</v>
      </c>
      <c r="H312" s="19" t="s">
        <v>13</v>
      </c>
    </row>
    <row r="313" spans="1:8" ht="17.399999999999999" thickBot="1" x14ac:dyDescent="0.45">
      <c r="A313" s="16">
        <v>312</v>
      </c>
      <c r="B313" s="17">
        <v>45519</v>
      </c>
      <c r="C313" s="17" t="str">
        <f>TEXT(sentiment[[#This Row],[date]],"MMM-YYYY")</f>
        <v>Aug-2024</v>
      </c>
      <c r="D313" s="18" t="s">
        <v>26</v>
      </c>
      <c r="E313" s="18" t="s">
        <v>8</v>
      </c>
      <c r="F313" s="18" t="s">
        <v>23</v>
      </c>
      <c r="G313" s="18">
        <v>1</v>
      </c>
      <c r="H313" s="19" t="s">
        <v>20</v>
      </c>
    </row>
    <row r="314" spans="1:8" ht="17.399999999999999" thickBot="1" x14ac:dyDescent="0.45">
      <c r="A314" s="16">
        <v>313</v>
      </c>
      <c r="B314" s="17">
        <v>45346</v>
      </c>
      <c r="C314" s="17" t="str">
        <f>TEXT(sentiment[[#This Row],[date]],"MMM-YYYY")</f>
        <v>Feb-2024</v>
      </c>
      <c r="D314" s="18" t="s">
        <v>22</v>
      </c>
      <c r="E314" s="18" t="s">
        <v>11</v>
      </c>
      <c r="F314" s="18" t="s">
        <v>28</v>
      </c>
      <c r="G314" s="18">
        <v>5</v>
      </c>
      <c r="H314" s="19" t="s">
        <v>13</v>
      </c>
    </row>
    <row r="315" spans="1:8" ht="17.399999999999999" thickBot="1" x14ac:dyDescent="0.45">
      <c r="A315" s="16">
        <v>314</v>
      </c>
      <c r="B315" s="17">
        <v>45375</v>
      </c>
      <c r="C315" s="17" t="str">
        <f>TEXT(sentiment[[#This Row],[date]],"MMM-YYYY")</f>
        <v>Mar-2024</v>
      </c>
      <c r="D315" s="18" t="s">
        <v>21</v>
      </c>
      <c r="E315" s="18" t="s">
        <v>15</v>
      </c>
      <c r="F315" s="18" t="s">
        <v>29</v>
      </c>
      <c r="G315" s="18">
        <v>5</v>
      </c>
      <c r="H315" s="19" t="s">
        <v>13</v>
      </c>
    </row>
    <row r="316" spans="1:8" ht="17.399999999999999" thickBot="1" x14ac:dyDescent="0.45">
      <c r="A316" s="16">
        <v>315</v>
      </c>
      <c r="B316" s="17">
        <v>45957</v>
      </c>
      <c r="C316" s="17" t="str">
        <f>TEXT(sentiment[[#This Row],[date]],"MMM-YYYY")</f>
        <v>Oct-2025</v>
      </c>
      <c r="D316" s="18" t="s">
        <v>21</v>
      </c>
      <c r="E316" s="18" t="s">
        <v>15</v>
      </c>
      <c r="F316" s="18" t="s">
        <v>25</v>
      </c>
      <c r="G316" s="18">
        <v>1</v>
      </c>
      <c r="H316" s="19" t="s">
        <v>20</v>
      </c>
    </row>
    <row r="317" spans="1:8" ht="17.399999999999999" thickBot="1" x14ac:dyDescent="0.45">
      <c r="A317" s="16">
        <v>316</v>
      </c>
      <c r="B317" s="17">
        <v>45775</v>
      </c>
      <c r="C317" s="17" t="str">
        <f>TEXT(sentiment[[#This Row],[date]],"MMM-YYYY")</f>
        <v>Apr-2025</v>
      </c>
      <c r="D317" s="18" t="s">
        <v>7</v>
      </c>
      <c r="E317" s="18" t="s">
        <v>15</v>
      </c>
      <c r="F317" s="18" t="s">
        <v>32</v>
      </c>
      <c r="G317" s="18">
        <v>5</v>
      </c>
      <c r="H317" s="19" t="s">
        <v>13</v>
      </c>
    </row>
    <row r="318" spans="1:8" ht="17.399999999999999" thickBot="1" x14ac:dyDescent="0.45">
      <c r="A318" s="16">
        <v>317</v>
      </c>
      <c r="B318" s="17">
        <v>45373</v>
      </c>
      <c r="C318" s="17" t="str">
        <f>TEXT(sentiment[[#This Row],[date]],"MMM-YYYY")</f>
        <v>Mar-2024</v>
      </c>
      <c r="D318" s="18" t="s">
        <v>14</v>
      </c>
      <c r="E318" s="18" t="s">
        <v>8</v>
      </c>
      <c r="F318" s="18" t="s">
        <v>25</v>
      </c>
      <c r="G318" s="18">
        <v>1</v>
      </c>
      <c r="H318" s="19" t="s">
        <v>20</v>
      </c>
    </row>
    <row r="319" spans="1:8" ht="17.399999999999999" thickBot="1" x14ac:dyDescent="0.45">
      <c r="A319" s="16">
        <v>318</v>
      </c>
      <c r="B319" s="17">
        <v>45405</v>
      </c>
      <c r="C319" s="17" t="str">
        <f>TEXT(sentiment[[#This Row],[date]],"MMM-YYYY")</f>
        <v>Apr-2024</v>
      </c>
      <c r="D319" s="18" t="s">
        <v>26</v>
      </c>
      <c r="E319" s="18" t="s">
        <v>8</v>
      </c>
      <c r="F319" s="18" t="s">
        <v>16</v>
      </c>
      <c r="G319" s="18">
        <v>5</v>
      </c>
      <c r="H319" s="19" t="s">
        <v>13</v>
      </c>
    </row>
    <row r="320" spans="1:8" ht="17.399999999999999" thickBot="1" x14ac:dyDescent="0.45">
      <c r="A320" s="16">
        <v>319</v>
      </c>
      <c r="B320" s="17">
        <v>45340</v>
      </c>
      <c r="C320" s="17" t="str">
        <f>TEXT(sentiment[[#This Row],[date]],"MMM-YYYY")</f>
        <v>Feb-2024</v>
      </c>
      <c r="D320" s="18" t="s">
        <v>17</v>
      </c>
      <c r="E320" s="18" t="s">
        <v>8</v>
      </c>
      <c r="F320" s="18" t="s">
        <v>24</v>
      </c>
      <c r="G320" s="18">
        <v>1</v>
      </c>
      <c r="H320" s="19" t="s">
        <v>20</v>
      </c>
    </row>
    <row r="321" spans="1:8" ht="17.399999999999999" thickBot="1" x14ac:dyDescent="0.45">
      <c r="A321" s="16">
        <v>320</v>
      </c>
      <c r="B321" s="17">
        <v>45405</v>
      </c>
      <c r="C321" s="17" t="str">
        <f>TEXT(sentiment[[#This Row],[date]],"MMM-YYYY")</f>
        <v>Apr-2024</v>
      </c>
      <c r="D321" s="18" t="s">
        <v>26</v>
      </c>
      <c r="E321" s="18" t="s">
        <v>8</v>
      </c>
      <c r="F321" s="18" t="s">
        <v>24</v>
      </c>
      <c r="G321" s="18">
        <v>1</v>
      </c>
      <c r="H321" s="19" t="s">
        <v>20</v>
      </c>
    </row>
    <row r="322" spans="1:8" ht="17.399999999999999" thickBot="1" x14ac:dyDescent="0.45">
      <c r="A322" s="16">
        <v>321</v>
      </c>
      <c r="B322" s="17">
        <v>45939</v>
      </c>
      <c r="C322" s="17" t="str">
        <f>TEXT(sentiment[[#This Row],[date]],"MMM-YYYY")</f>
        <v>Oct-2025</v>
      </c>
      <c r="D322" s="18" t="s">
        <v>18</v>
      </c>
      <c r="E322" s="18" t="s">
        <v>11</v>
      </c>
      <c r="F322" s="18" t="s">
        <v>9</v>
      </c>
      <c r="G322" s="18">
        <v>3</v>
      </c>
      <c r="H322" s="19" t="s">
        <v>10</v>
      </c>
    </row>
    <row r="323" spans="1:8" ht="17.399999999999999" thickBot="1" x14ac:dyDescent="0.45">
      <c r="A323" s="16">
        <v>322</v>
      </c>
      <c r="B323" s="17">
        <v>45590</v>
      </c>
      <c r="C323" s="17" t="str">
        <f>TEXT(sentiment[[#This Row],[date]],"MMM-YYYY")</f>
        <v>Oct-2024</v>
      </c>
      <c r="D323" s="18" t="s">
        <v>22</v>
      </c>
      <c r="E323" s="18" t="s">
        <v>15</v>
      </c>
      <c r="F323" s="18" t="s">
        <v>30</v>
      </c>
      <c r="G323" s="18">
        <v>3</v>
      </c>
      <c r="H323" s="19" t="s">
        <v>10</v>
      </c>
    </row>
    <row r="324" spans="1:8" ht="17.399999999999999" thickBot="1" x14ac:dyDescent="0.45">
      <c r="A324" s="16">
        <v>323</v>
      </c>
      <c r="B324" s="17">
        <v>45876</v>
      </c>
      <c r="C324" s="17" t="str">
        <f>TEXT(sentiment[[#This Row],[date]],"MMM-YYYY")</f>
        <v>Aug-2025</v>
      </c>
      <c r="D324" s="18" t="s">
        <v>22</v>
      </c>
      <c r="E324" s="18" t="s">
        <v>15</v>
      </c>
      <c r="F324" s="18" t="s">
        <v>19</v>
      </c>
      <c r="G324" s="18">
        <v>1</v>
      </c>
      <c r="H324" s="19" t="s">
        <v>20</v>
      </c>
    </row>
    <row r="325" spans="1:8" ht="17.399999999999999" thickBot="1" x14ac:dyDescent="0.45">
      <c r="A325" s="16">
        <v>324</v>
      </c>
      <c r="B325" s="17">
        <v>45361</v>
      </c>
      <c r="C325" s="17" t="str">
        <f>TEXT(sentiment[[#This Row],[date]],"MMM-YYYY")</f>
        <v>Mar-2024</v>
      </c>
      <c r="D325" s="18" t="s">
        <v>18</v>
      </c>
      <c r="E325" s="18" t="s">
        <v>11</v>
      </c>
      <c r="F325" s="18" t="s">
        <v>30</v>
      </c>
      <c r="G325" s="18">
        <v>4</v>
      </c>
      <c r="H325" s="19" t="s">
        <v>10</v>
      </c>
    </row>
    <row r="326" spans="1:8" ht="17.399999999999999" thickBot="1" x14ac:dyDescent="0.45">
      <c r="A326" s="16">
        <v>325</v>
      </c>
      <c r="B326" s="17">
        <v>45691</v>
      </c>
      <c r="C326" s="17" t="str">
        <f>TEXT(sentiment[[#This Row],[date]],"MMM-YYYY")</f>
        <v>Feb-2025</v>
      </c>
      <c r="D326" s="18" t="s">
        <v>26</v>
      </c>
      <c r="E326" s="18" t="s">
        <v>8</v>
      </c>
      <c r="F326" s="18" t="s">
        <v>33</v>
      </c>
      <c r="G326" s="18">
        <v>3</v>
      </c>
      <c r="H326" s="19" t="s">
        <v>10</v>
      </c>
    </row>
    <row r="327" spans="1:8" ht="17.399999999999999" thickBot="1" x14ac:dyDescent="0.45">
      <c r="A327" s="16">
        <v>326</v>
      </c>
      <c r="B327" s="17">
        <v>45674</v>
      </c>
      <c r="C327" s="17" t="str">
        <f>TEXT(sentiment[[#This Row],[date]],"MMM-YYYY")</f>
        <v>Jan-2025</v>
      </c>
      <c r="D327" s="18" t="s">
        <v>21</v>
      </c>
      <c r="E327" s="18" t="s">
        <v>11</v>
      </c>
      <c r="F327" s="18" t="s">
        <v>33</v>
      </c>
      <c r="G327" s="18">
        <v>4</v>
      </c>
      <c r="H327" s="19" t="s">
        <v>10</v>
      </c>
    </row>
    <row r="328" spans="1:8" ht="17.399999999999999" thickBot="1" x14ac:dyDescent="0.45">
      <c r="A328" s="16">
        <v>327</v>
      </c>
      <c r="B328" s="17">
        <v>45645</v>
      </c>
      <c r="C328" s="17" t="str">
        <f>TEXT(sentiment[[#This Row],[date]],"MMM-YYYY")</f>
        <v>Dec-2024</v>
      </c>
      <c r="D328" s="18" t="s">
        <v>17</v>
      </c>
      <c r="E328" s="18" t="s">
        <v>11</v>
      </c>
      <c r="F328" s="18" t="s">
        <v>19</v>
      </c>
      <c r="G328" s="18">
        <v>1</v>
      </c>
      <c r="H328" s="19" t="s">
        <v>20</v>
      </c>
    </row>
    <row r="329" spans="1:8" ht="17.399999999999999" thickBot="1" x14ac:dyDescent="0.45">
      <c r="A329" s="16">
        <v>328</v>
      </c>
      <c r="B329" s="17">
        <v>45428</v>
      </c>
      <c r="C329" s="17" t="str">
        <f>TEXT(sentiment[[#This Row],[date]],"MMM-YYYY")</f>
        <v>May-2024</v>
      </c>
      <c r="D329" s="18" t="s">
        <v>14</v>
      </c>
      <c r="E329" s="18" t="s">
        <v>8</v>
      </c>
      <c r="F329" s="18" t="s">
        <v>30</v>
      </c>
      <c r="G329" s="18">
        <v>4</v>
      </c>
      <c r="H329" s="19" t="s">
        <v>10</v>
      </c>
    </row>
    <row r="330" spans="1:8" ht="17.399999999999999" thickBot="1" x14ac:dyDescent="0.45">
      <c r="A330" s="16">
        <v>329</v>
      </c>
      <c r="B330" s="17">
        <v>45767</v>
      </c>
      <c r="C330" s="17" t="str">
        <f>TEXT(sentiment[[#This Row],[date]],"MMM-YYYY")</f>
        <v>Apr-2025</v>
      </c>
      <c r="D330" s="18" t="s">
        <v>7</v>
      </c>
      <c r="E330" s="18" t="s">
        <v>8</v>
      </c>
      <c r="F330" s="18" t="s">
        <v>25</v>
      </c>
      <c r="G330" s="18">
        <v>1</v>
      </c>
      <c r="H330" s="19" t="s">
        <v>20</v>
      </c>
    </row>
    <row r="331" spans="1:8" ht="17.399999999999999" thickBot="1" x14ac:dyDescent="0.45">
      <c r="A331" s="16">
        <v>330</v>
      </c>
      <c r="B331" s="17">
        <v>45760</v>
      </c>
      <c r="C331" s="17" t="str">
        <f>TEXT(sentiment[[#This Row],[date]],"MMM-YYYY")</f>
        <v>Apr-2025</v>
      </c>
      <c r="D331" s="18" t="s">
        <v>14</v>
      </c>
      <c r="E331" s="18" t="s">
        <v>8</v>
      </c>
      <c r="F331" s="18" t="s">
        <v>16</v>
      </c>
      <c r="G331" s="18">
        <v>4</v>
      </c>
      <c r="H331" s="19" t="s">
        <v>13</v>
      </c>
    </row>
    <row r="332" spans="1:8" ht="17.399999999999999" thickBot="1" x14ac:dyDescent="0.45">
      <c r="A332" s="16">
        <v>331</v>
      </c>
      <c r="B332" s="17">
        <v>45334</v>
      </c>
      <c r="C332" s="17" t="str">
        <f>TEXT(sentiment[[#This Row],[date]],"MMM-YYYY")</f>
        <v>Feb-2024</v>
      </c>
      <c r="D332" s="18" t="s">
        <v>21</v>
      </c>
      <c r="E332" s="18" t="s">
        <v>8</v>
      </c>
      <c r="F332" s="18" t="s">
        <v>12</v>
      </c>
      <c r="G332" s="18">
        <v>4</v>
      </c>
      <c r="H332" s="19" t="s">
        <v>13</v>
      </c>
    </row>
    <row r="333" spans="1:8" ht="17.399999999999999" thickBot="1" x14ac:dyDescent="0.45">
      <c r="A333" s="16">
        <v>332</v>
      </c>
      <c r="B333" s="17">
        <v>45551</v>
      </c>
      <c r="C333" s="17" t="str">
        <f>TEXT(sentiment[[#This Row],[date]],"MMM-YYYY")</f>
        <v>Sep-2024</v>
      </c>
      <c r="D333" s="18" t="s">
        <v>14</v>
      </c>
      <c r="E333" s="18" t="s">
        <v>11</v>
      </c>
      <c r="F333" s="18" t="s">
        <v>25</v>
      </c>
      <c r="G333" s="18">
        <v>2</v>
      </c>
      <c r="H333" s="19" t="s">
        <v>20</v>
      </c>
    </row>
    <row r="334" spans="1:8" ht="17.399999999999999" thickBot="1" x14ac:dyDescent="0.45">
      <c r="A334" s="16">
        <v>333</v>
      </c>
      <c r="B334" s="17">
        <v>45340</v>
      </c>
      <c r="C334" s="17" t="str">
        <f>TEXT(sentiment[[#This Row],[date]],"MMM-YYYY")</f>
        <v>Feb-2024</v>
      </c>
      <c r="D334" s="18" t="s">
        <v>26</v>
      </c>
      <c r="E334" s="18" t="s">
        <v>11</v>
      </c>
      <c r="F334" s="18" t="s">
        <v>23</v>
      </c>
      <c r="G334" s="18">
        <v>2</v>
      </c>
      <c r="H334" s="19" t="s">
        <v>20</v>
      </c>
    </row>
    <row r="335" spans="1:8" ht="17.399999999999999" thickBot="1" x14ac:dyDescent="0.45">
      <c r="A335" s="16">
        <v>334</v>
      </c>
      <c r="B335" s="17">
        <v>45668</v>
      </c>
      <c r="C335" s="17" t="str">
        <f>TEXT(sentiment[[#This Row],[date]],"MMM-YYYY")</f>
        <v>Jan-2025</v>
      </c>
      <c r="D335" s="18" t="s">
        <v>22</v>
      </c>
      <c r="E335" s="18" t="s">
        <v>8</v>
      </c>
      <c r="F335" s="18" t="s">
        <v>27</v>
      </c>
      <c r="G335" s="18">
        <v>1</v>
      </c>
      <c r="H335" s="19" t="s">
        <v>20</v>
      </c>
    </row>
    <row r="336" spans="1:8" ht="17.399999999999999" thickBot="1" x14ac:dyDescent="0.45">
      <c r="A336" s="16">
        <v>335</v>
      </c>
      <c r="B336" s="17">
        <v>45483</v>
      </c>
      <c r="C336" s="17" t="str">
        <f>TEXT(sentiment[[#This Row],[date]],"MMM-YYYY")</f>
        <v>Jul-2024</v>
      </c>
      <c r="D336" s="18" t="s">
        <v>22</v>
      </c>
      <c r="E336" s="18" t="s">
        <v>11</v>
      </c>
      <c r="F336" s="18" t="s">
        <v>27</v>
      </c>
      <c r="G336" s="18">
        <v>2</v>
      </c>
      <c r="H336" s="19" t="s">
        <v>20</v>
      </c>
    </row>
    <row r="337" spans="1:8" ht="17.399999999999999" thickBot="1" x14ac:dyDescent="0.45">
      <c r="A337" s="16">
        <v>336</v>
      </c>
      <c r="B337" s="17">
        <v>45376</v>
      </c>
      <c r="C337" s="17" t="str">
        <f>TEXT(sentiment[[#This Row],[date]],"MMM-YYYY")</f>
        <v>Mar-2024</v>
      </c>
      <c r="D337" s="18" t="s">
        <v>7</v>
      </c>
      <c r="E337" s="18" t="s">
        <v>8</v>
      </c>
      <c r="F337" s="18" t="s">
        <v>19</v>
      </c>
      <c r="G337" s="18">
        <v>2</v>
      </c>
      <c r="H337" s="19" t="s">
        <v>20</v>
      </c>
    </row>
    <row r="338" spans="1:8" ht="17.399999999999999" thickBot="1" x14ac:dyDescent="0.45">
      <c r="A338" s="16">
        <v>337</v>
      </c>
      <c r="B338" s="17">
        <v>45850</v>
      </c>
      <c r="C338" s="17" t="str">
        <f>TEXT(sentiment[[#This Row],[date]],"MMM-YYYY")</f>
        <v>Jul-2025</v>
      </c>
      <c r="D338" s="18" t="s">
        <v>21</v>
      </c>
      <c r="E338" s="18" t="s">
        <v>8</v>
      </c>
      <c r="F338" s="18" t="s">
        <v>19</v>
      </c>
      <c r="G338" s="18">
        <v>1</v>
      </c>
      <c r="H338" s="19" t="s">
        <v>20</v>
      </c>
    </row>
    <row r="339" spans="1:8" ht="17.399999999999999" thickBot="1" x14ac:dyDescent="0.45">
      <c r="A339" s="16">
        <v>338</v>
      </c>
      <c r="B339" s="17">
        <v>45968</v>
      </c>
      <c r="C339" s="17" t="str">
        <f>TEXT(sentiment[[#This Row],[date]],"MMM-YYYY")</f>
        <v>Nov-2025</v>
      </c>
      <c r="D339" s="18" t="s">
        <v>21</v>
      </c>
      <c r="E339" s="18" t="s">
        <v>8</v>
      </c>
      <c r="F339" s="18" t="s">
        <v>32</v>
      </c>
      <c r="G339" s="18">
        <v>5</v>
      </c>
      <c r="H339" s="19" t="s">
        <v>13</v>
      </c>
    </row>
    <row r="340" spans="1:8" ht="17.399999999999999" thickBot="1" x14ac:dyDescent="0.45">
      <c r="A340" s="16">
        <v>339</v>
      </c>
      <c r="B340" s="17">
        <v>45462</v>
      </c>
      <c r="C340" s="17" t="str">
        <f>TEXT(sentiment[[#This Row],[date]],"MMM-YYYY")</f>
        <v>Jun-2024</v>
      </c>
      <c r="D340" s="18" t="s">
        <v>7</v>
      </c>
      <c r="E340" s="18" t="s">
        <v>8</v>
      </c>
      <c r="F340" s="18" t="s">
        <v>31</v>
      </c>
      <c r="G340" s="18">
        <v>4</v>
      </c>
      <c r="H340" s="19" t="s">
        <v>10</v>
      </c>
    </row>
    <row r="341" spans="1:8" ht="17.399999999999999" thickBot="1" x14ac:dyDescent="0.45">
      <c r="A341" s="16">
        <v>340</v>
      </c>
      <c r="B341" s="17">
        <v>45653</v>
      </c>
      <c r="C341" s="17" t="str">
        <f>TEXT(sentiment[[#This Row],[date]],"MMM-YYYY")</f>
        <v>Dec-2024</v>
      </c>
      <c r="D341" s="18" t="s">
        <v>18</v>
      </c>
      <c r="E341" s="18" t="s">
        <v>8</v>
      </c>
      <c r="F341" s="18" t="s">
        <v>23</v>
      </c>
      <c r="G341" s="18">
        <v>1</v>
      </c>
      <c r="H341" s="19" t="s">
        <v>20</v>
      </c>
    </row>
    <row r="342" spans="1:8" ht="17.399999999999999" thickBot="1" x14ac:dyDescent="0.45">
      <c r="A342" s="16">
        <v>341</v>
      </c>
      <c r="B342" s="17">
        <v>45368</v>
      </c>
      <c r="C342" s="17" t="str">
        <f>TEXT(sentiment[[#This Row],[date]],"MMM-YYYY")</f>
        <v>Mar-2024</v>
      </c>
      <c r="D342" s="18" t="s">
        <v>7</v>
      </c>
      <c r="E342" s="18" t="s">
        <v>11</v>
      </c>
      <c r="F342" s="18" t="s">
        <v>34</v>
      </c>
      <c r="G342" s="18">
        <v>3</v>
      </c>
      <c r="H342" s="19" t="s">
        <v>10</v>
      </c>
    </row>
    <row r="343" spans="1:8" ht="17.399999999999999" thickBot="1" x14ac:dyDescent="0.45">
      <c r="A343" s="16">
        <v>342</v>
      </c>
      <c r="B343" s="17">
        <v>45323</v>
      </c>
      <c r="C343" s="17" t="str">
        <f>TEXT(sentiment[[#This Row],[date]],"MMM-YYYY")</f>
        <v>Feb-2024</v>
      </c>
      <c r="D343" s="18" t="s">
        <v>17</v>
      </c>
      <c r="E343" s="18" t="s">
        <v>11</v>
      </c>
      <c r="F343" s="18" t="s">
        <v>27</v>
      </c>
      <c r="G343" s="18">
        <v>1</v>
      </c>
      <c r="H343" s="19" t="s">
        <v>20</v>
      </c>
    </row>
    <row r="344" spans="1:8" ht="17.399999999999999" thickBot="1" x14ac:dyDescent="0.45">
      <c r="A344" s="16">
        <v>343</v>
      </c>
      <c r="B344" s="17">
        <v>45360</v>
      </c>
      <c r="C344" s="17" t="str">
        <f>TEXT(sentiment[[#This Row],[date]],"MMM-YYYY")</f>
        <v>Mar-2024</v>
      </c>
      <c r="D344" s="18" t="s">
        <v>17</v>
      </c>
      <c r="E344" s="18" t="s">
        <v>11</v>
      </c>
      <c r="F344" s="18" t="s">
        <v>28</v>
      </c>
      <c r="G344" s="18">
        <v>4</v>
      </c>
      <c r="H344" s="19" t="s">
        <v>13</v>
      </c>
    </row>
    <row r="345" spans="1:8" ht="17.399999999999999" thickBot="1" x14ac:dyDescent="0.45">
      <c r="A345" s="16">
        <v>344</v>
      </c>
      <c r="B345" s="17">
        <v>45872</v>
      </c>
      <c r="C345" s="17" t="str">
        <f>TEXT(sentiment[[#This Row],[date]],"MMM-YYYY")</f>
        <v>Aug-2025</v>
      </c>
      <c r="D345" s="18" t="s">
        <v>14</v>
      </c>
      <c r="E345" s="18" t="s">
        <v>11</v>
      </c>
      <c r="F345" s="18" t="s">
        <v>25</v>
      </c>
      <c r="G345" s="18">
        <v>2</v>
      </c>
      <c r="H345" s="19" t="s">
        <v>20</v>
      </c>
    </row>
    <row r="346" spans="1:8" ht="17.399999999999999" thickBot="1" x14ac:dyDescent="0.45">
      <c r="A346" s="16">
        <v>345</v>
      </c>
      <c r="B346" s="17">
        <v>45671</v>
      </c>
      <c r="C346" s="17" t="str">
        <f>TEXT(sentiment[[#This Row],[date]],"MMM-YYYY")</f>
        <v>Jan-2025</v>
      </c>
      <c r="D346" s="18" t="s">
        <v>21</v>
      </c>
      <c r="E346" s="18" t="s">
        <v>8</v>
      </c>
      <c r="F346" s="18" t="s">
        <v>33</v>
      </c>
      <c r="G346" s="18">
        <v>4</v>
      </c>
      <c r="H346" s="19" t="s">
        <v>10</v>
      </c>
    </row>
    <row r="347" spans="1:8" ht="17.399999999999999" thickBot="1" x14ac:dyDescent="0.45">
      <c r="A347" s="16">
        <v>346</v>
      </c>
      <c r="B347" s="17">
        <v>45834</v>
      </c>
      <c r="C347" s="17" t="str">
        <f>TEXT(sentiment[[#This Row],[date]],"MMM-YYYY")</f>
        <v>Jun-2025</v>
      </c>
      <c r="D347" s="18" t="s">
        <v>21</v>
      </c>
      <c r="E347" s="18" t="s">
        <v>8</v>
      </c>
      <c r="F347" s="18" t="s">
        <v>31</v>
      </c>
      <c r="G347" s="18">
        <v>3</v>
      </c>
      <c r="H347" s="19" t="s">
        <v>10</v>
      </c>
    </row>
    <row r="348" spans="1:8" ht="17.399999999999999" thickBot="1" x14ac:dyDescent="0.45">
      <c r="A348" s="16">
        <v>347</v>
      </c>
      <c r="B348" s="17">
        <v>45547</v>
      </c>
      <c r="C348" s="17" t="str">
        <f>TEXT(sentiment[[#This Row],[date]],"MMM-YYYY")</f>
        <v>Sep-2024</v>
      </c>
      <c r="D348" s="18" t="s">
        <v>14</v>
      </c>
      <c r="E348" s="18" t="s">
        <v>15</v>
      </c>
      <c r="F348" s="18" t="s">
        <v>9</v>
      </c>
      <c r="G348" s="18">
        <v>4</v>
      </c>
      <c r="H348" s="19" t="s">
        <v>10</v>
      </c>
    </row>
    <row r="349" spans="1:8" ht="17.399999999999999" thickBot="1" x14ac:dyDescent="0.45">
      <c r="A349" s="16">
        <v>348</v>
      </c>
      <c r="B349" s="17">
        <v>45867</v>
      </c>
      <c r="C349" s="17" t="str">
        <f>TEXT(sentiment[[#This Row],[date]],"MMM-YYYY")</f>
        <v>Jul-2025</v>
      </c>
      <c r="D349" s="18" t="s">
        <v>14</v>
      </c>
      <c r="E349" s="18" t="s">
        <v>8</v>
      </c>
      <c r="F349" s="18" t="s">
        <v>23</v>
      </c>
      <c r="G349" s="18">
        <v>2</v>
      </c>
      <c r="H349" s="19" t="s">
        <v>20</v>
      </c>
    </row>
    <row r="350" spans="1:8" ht="17.399999999999999" thickBot="1" x14ac:dyDescent="0.45">
      <c r="A350" s="16">
        <v>349</v>
      </c>
      <c r="B350" s="17">
        <v>45511</v>
      </c>
      <c r="C350" s="17" t="str">
        <f>TEXT(sentiment[[#This Row],[date]],"MMM-YYYY")</f>
        <v>Aug-2024</v>
      </c>
      <c r="D350" s="18" t="s">
        <v>18</v>
      </c>
      <c r="E350" s="18" t="s">
        <v>8</v>
      </c>
      <c r="F350" s="18" t="s">
        <v>34</v>
      </c>
      <c r="G350" s="18">
        <v>4</v>
      </c>
      <c r="H350" s="19" t="s">
        <v>10</v>
      </c>
    </row>
    <row r="351" spans="1:8" ht="17.399999999999999" thickBot="1" x14ac:dyDescent="0.45">
      <c r="A351" s="16">
        <v>350</v>
      </c>
      <c r="B351" s="17">
        <v>45430</v>
      </c>
      <c r="C351" s="17" t="str">
        <f>TEXT(sentiment[[#This Row],[date]],"MMM-YYYY")</f>
        <v>May-2024</v>
      </c>
      <c r="D351" s="18" t="s">
        <v>26</v>
      </c>
      <c r="E351" s="18" t="s">
        <v>15</v>
      </c>
      <c r="F351" s="18" t="s">
        <v>32</v>
      </c>
      <c r="G351" s="18">
        <v>4</v>
      </c>
      <c r="H351" s="19" t="s">
        <v>13</v>
      </c>
    </row>
    <row r="352" spans="1:8" ht="17.399999999999999" thickBot="1" x14ac:dyDescent="0.45">
      <c r="A352" s="16">
        <v>351</v>
      </c>
      <c r="B352" s="17">
        <v>45381</v>
      </c>
      <c r="C352" s="17" t="str">
        <f>TEXT(sentiment[[#This Row],[date]],"MMM-YYYY")</f>
        <v>Mar-2024</v>
      </c>
      <c r="D352" s="18" t="s">
        <v>26</v>
      </c>
      <c r="E352" s="18" t="s">
        <v>11</v>
      </c>
      <c r="F352" s="18" t="s">
        <v>28</v>
      </c>
      <c r="G352" s="18">
        <v>5</v>
      </c>
      <c r="H352" s="19" t="s">
        <v>13</v>
      </c>
    </row>
    <row r="353" spans="1:8" ht="17.399999999999999" thickBot="1" x14ac:dyDescent="0.45">
      <c r="A353" s="16">
        <v>352</v>
      </c>
      <c r="B353" s="17">
        <v>45358</v>
      </c>
      <c r="C353" s="17" t="str">
        <f>TEXT(sentiment[[#This Row],[date]],"MMM-YYYY")</f>
        <v>Mar-2024</v>
      </c>
      <c r="D353" s="18" t="s">
        <v>18</v>
      </c>
      <c r="E353" s="18" t="s">
        <v>11</v>
      </c>
      <c r="F353" s="18" t="s">
        <v>31</v>
      </c>
      <c r="G353" s="18">
        <v>4</v>
      </c>
      <c r="H353" s="19" t="s">
        <v>10</v>
      </c>
    </row>
    <row r="354" spans="1:8" ht="17.399999999999999" thickBot="1" x14ac:dyDescent="0.45">
      <c r="A354" s="16">
        <v>353</v>
      </c>
      <c r="B354" s="17">
        <v>45945</v>
      </c>
      <c r="C354" s="17" t="str">
        <f>TEXT(sentiment[[#This Row],[date]],"MMM-YYYY")</f>
        <v>Oct-2025</v>
      </c>
      <c r="D354" s="18" t="s">
        <v>17</v>
      </c>
      <c r="E354" s="18" t="s">
        <v>8</v>
      </c>
      <c r="F354" s="18" t="s">
        <v>24</v>
      </c>
      <c r="G354" s="18">
        <v>1</v>
      </c>
      <c r="H354" s="19" t="s">
        <v>20</v>
      </c>
    </row>
    <row r="355" spans="1:8" ht="17.399999999999999" thickBot="1" x14ac:dyDescent="0.45">
      <c r="A355" s="16">
        <v>354</v>
      </c>
      <c r="B355" s="17">
        <v>45497</v>
      </c>
      <c r="C355" s="17" t="str">
        <f>TEXT(sentiment[[#This Row],[date]],"MMM-YYYY")</f>
        <v>Jul-2024</v>
      </c>
      <c r="D355" s="18" t="s">
        <v>26</v>
      </c>
      <c r="E355" s="18" t="s">
        <v>15</v>
      </c>
      <c r="F355" s="18" t="s">
        <v>16</v>
      </c>
      <c r="G355" s="18">
        <v>4</v>
      </c>
      <c r="H355" s="19" t="s">
        <v>13</v>
      </c>
    </row>
    <row r="356" spans="1:8" ht="17.399999999999999" thickBot="1" x14ac:dyDescent="0.45">
      <c r="A356" s="16">
        <v>355</v>
      </c>
      <c r="B356" s="17">
        <v>45661</v>
      </c>
      <c r="C356" s="17" t="str">
        <f>TEXT(sentiment[[#This Row],[date]],"MMM-YYYY")</f>
        <v>Jan-2025</v>
      </c>
      <c r="D356" s="18" t="s">
        <v>18</v>
      </c>
      <c r="E356" s="18" t="s">
        <v>11</v>
      </c>
      <c r="F356" s="18" t="s">
        <v>23</v>
      </c>
      <c r="G356" s="18">
        <v>1</v>
      </c>
      <c r="H356" s="19" t="s">
        <v>20</v>
      </c>
    </row>
    <row r="357" spans="1:8" ht="17.399999999999999" thickBot="1" x14ac:dyDescent="0.45">
      <c r="A357" s="16">
        <v>356</v>
      </c>
      <c r="B357" s="17">
        <v>45918</v>
      </c>
      <c r="C357" s="17" t="str">
        <f>TEXT(sentiment[[#This Row],[date]],"MMM-YYYY")</f>
        <v>Sep-2025</v>
      </c>
      <c r="D357" s="18" t="s">
        <v>14</v>
      </c>
      <c r="E357" s="18" t="s">
        <v>15</v>
      </c>
      <c r="F357" s="18" t="s">
        <v>23</v>
      </c>
      <c r="G357" s="18">
        <v>1</v>
      </c>
      <c r="H357" s="19" t="s">
        <v>20</v>
      </c>
    </row>
    <row r="358" spans="1:8" ht="17.399999999999999" thickBot="1" x14ac:dyDescent="0.45">
      <c r="A358" s="16">
        <v>357</v>
      </c>
      <c r="B358" s="17">
        <v>45830</v>
      </c>
      <c r="C358" s="17" t="str">
        <f>TEXT(sentiment[[#This Row],[date]],"MMM-YYYY")</f>
        <v>Jun-2025</v>
      </c>
      <c r="D358" s="18" t="s">
        <v>22</v>
      </c>
      <c r="E358" s="18" t="s">
        <v>8</v>
      </c>
      <c r="F358" s="18" t="s">
        <v>24</v>
      </c>
      <c r="G358" s="18">
        <v>2</v>
      </c>
      <c r="H358" s="19" t="s">
        <v>20</v>
      </c>
    </row>
    <row r="359" spans="1:8" ht="17.399999999999999" thickBot="1" x14ac:dyDescent="0.45">
      <c r="A359" s="16">
        <v>358</v>
      </c>
      <c r="B359" s="17">
        <v>45616</v>
      </c>
      <c r="C359" s="17" t="str">
        <f>TEXT(sentiment[[#This Row],[date]],"MMM-YYYY")</f>
        <v>Nov-2024</v>
      </c>
      <c r="D359" s="18" t="s">
        <v>7</v>
      </c>
      <c r="E359" s="18" t="s">
        <v>15</v>
      </c>
      <c r="F359" s="18" t="s">
        <v>32</v>
      </c>
      <c r="G359" s="18">
        <v>4</v>
      </c>
      <c r="H359" s="19" t="s">
        <v>13</v>
      </c>
    </row>
    <row r="360" spans="1:8" ht="17.399999999999999" thickBot="1" x14ac:dyDescent="0.45">
      <c r="A360" s="16">
        <v>359</v>
      </c>
      <c r="B360" s="17">
        <v>45423</v>
      </c>
      <c r="C360" s="17" t="str">
        <f>TEXT(sentiment[[#This Row],[date]],"MMM-YYYY")</f>
        <v>May-2024</v>
      </c>
      <c r="D360" s="18" t="s">
        <v>26</v>
      </c>
      <c r="E360" s="18" t="s">
        <v>11</v>
      </c>
      <c r="F360" s="18" t="s">
        <v>24</v>
      </c>
      <c r="G360" s="18">
        <v>2</v>
      </c>
      <c r="H360" s="19" t="s">
        <v>20</v>
      </c>
    </row>
    <row r="361" spans="1:8" ht="17.399999999999999" thickBot="1" x14ac:dyDescent="0.45">
      <c r="A361" s="16">
        <v>360</v>
      </c>
      <c r="B361" s="17">
        <v>45735</v>
      </c>
      <c r="C361" s="17" t="str">
        <f>TEXT(sentiment[[#This Row],[date]],"MMM-YYYY")</f>
        <v>Mar-2025</v>
      </c>
      <c r="D361" s="18" t="s">
        <v>18</v>
      </c>
      <c r="E361" s="18" t="s">
        <v>15</v>
      </c>
      <c r="F361" s="18" t="s">
        <v>29</v>
      </c>
      <c r="G361" s="18">
        <v>4</v>
      </c>
      <c r="H361" s="19" t="s">
        <v>13</v>
      </c>
    </row>
    <row r="362" spans="1:8" ht="17.399999999999999" thickBot="1" x14ac:dyDescent="0.45">
      <c r="A362" s="16">
        <v>361</v>
      </c>
      <c r="B362" s="17">
        <v>45603</v>
      </c>
      <c r="C362" s="17" t="str">
        <f>TEXT(sentiment[[#This Row],[date]],"MMM-YYYY")</f>
        <v>Nov-2024</v>
      </c>
      <c r="D362" s="18" t="s">
        <v>17</v>
      </c>
      <c r="E362" s="18" t="s">
        <v>15</v>
      </c>
      <c r="F362" s="18" t="s">
        <v>31</v>
      </c>
      <c r="G362" s="18">
        <v>3</v>
      </c>
      <c r="H362" s="19" t="s">
        <v>10</v>
      </c>
    </row>
    <row r="363" spans="1:8" ht="17.399999999999999" thickBot="1" x14ac:dyDescent="0.45">
      <c r="A363" s="16">
        <v>362</v>
      </c>
      <c r="B363" s="17">
        <v>45646</v>
      </c>
      <c r="C363" s="17" t="str">
        <f>TEXT(sentiment[[#This Row],[date]],"MMM-YYYY")</f>
        <v>Dec-2024</v>
      </c>
      <c r="D363" s="18" t="s">
        <v>18</v>
      </c>
      <c r="E363" s="18" t="s">
        <v>8</v>
      </c>
      <c r="F363" s="18" t="s">
        <v>33</v>
      </c>
      <c r="G363" s="18">
        <v>3</v>
      </c>
      <c r="H363" s="19" t="s">
        <v>10</v>
      </c>
    </row>
    <row r="364" spans="1:8" ht="17.399999999999999" thickBot="1" x14ac:dyDescent="0.45">
      <c r="A364" s="16">
        <v>363</v>
      </c>
      <c r="B364" s="17">
        <v>45942</v>
      </c>
      <c r="C364" s="17" t="str">
        <f>TEXT(sentiment[[#This Row],[date]],"MMM-YYYY")</f>
        <v>Oct-2025</v>
      </c>
      <c r="D364" s="18" t="s">
        <v>18</v>
      </c>
      <c r="E364" s="18" t="s">
        <v>8</v>
      </c>
      <c r="F364" s="18" t="s">
        <v>25</v>
      </c>
      <c r="G364" s="18">
        <v>1</v>
      </c>
      <c r="H364" s="19" t="s">
        <v>20</v>
      </c>
    </row>
    <row r="365" spans="1:8" ht="17.399999999999999" thickBot="1" x14ac:dyDescent="0.45">
      <c r="A365" s="16">
        <v>364</v>
      </c>
      <c r="B365" s="17">
        <v>45921</v>
      </c>
      <c r="C365" s="17" t="str">
        <f>TEXT(sentiment[[#This Row],[date]],"MMM-YYYY")</f>
        <v>Sep-2025</v>
      </c>
      <c r="D365" s="18" t="s">
        <v>18</v>
      </c>
      <c r="E365" s="18" t="s">
        <v>15</v>
      </c>
      <c r="F365" s="18" t="s">
        <v>30</v>
      </c>
      <c r="G365" s="18">
        <v>4</v>
      </c>
      <c r="H365" s="19" t="s">
        <v>10</v>
      </c>
    </row>
    <row r="366" spans="1:8" ht="17.399999999999999" thickBot="1" x14ac:dyDescent="0.45">
      <c r="A366" s="16">
        <v>365</v>
      </c>
      <c r="B366" s="17">
        <v>45898</v>
      </c>
      <c r="C366" s="17" t="str">
        <f>TEXT(sentiment[[#This Row],[date]],"MMM-YYYY")</f>
        <v>Aug-2025</v>
      </c>
      <c r="D366" s="18" t="s">
        <v>18</v>
      </c>
      <c r="E366" s="18" t="s">
        <v>15</v>
      </c>
      <c r="F366" s="18" t="s">
        <v>9</v>
      </c>
      <c r="G366" s="18">
        <v>3</v>
      </c>
      <c r="H366" s="19" t="s">
        <v>10</v>
      </c>
    </row>
    <row r="367" spans="1:8" ht="17.399999999999999" thickBot="1" x14ac:dyDescent="0.45">
      <c r="A367" s="16">
        <v>366</v>
      </c>
      <c r="B367" s="17">
        <v>45869</v>
      </c>
      <c r="C367" s="17" t="str">
        <f>TEXT(sentiment[[#This Row],[date]],"MMM-YYYY")</f>
        <v>Jul-2025</v>
      </c>
      <c r="D367" s="18" t="s">
        <v>14</v>
      </c>
      <c r="E367" s="18" t="s">
        <v>15</v>
      </c>
      <c r="F367" s="18" t="s">
        <v>33</v>
      </c>
      <c r="G367" s="18">
        <v>4</v>
      </c>
      <c r="H367" s="19" t="s">
        <v>10</v>
      </c>
    </row>
    <row r="368" spans="1:8" ht="17.399999999999999" thickBot="1" x14ac:dyDescent="0.45">
      <c r="A368" s="16">
        <v>367</v>
      </c>
      <c r="B368" s="17">
        <v>45958</v>
      </c>
      <c r="C368" s="17" t="str">
        <f>TEXT(sentiment[[#This Row],[date]],"MMM-YYYY")</f>
        <v>Oct-2025</v>
      </c>
      <c r="D368" s="18" t="s">
        <v>17</v>
      </c>
      <c r="E368" s="18" t="s">
        <v>11</v>
      </c>
      <c r="F368" s="18" t="s">
        <v>32</v>
      </c>
      <c r="G368" s="18">
        <v>5</v>
      </c>
      <c r="H368" s="19" t="s">
        <v>13</v>
      </c>
    </row>
    <row r="369" spans="1:8" ht="17.399999999999999" thickBot="1" x14ac:dyDescent="0.45">
      <c r="A369" s="16">
        <v>368</v>
      </c>
      <c r="B369" s="17">
        <v>45801</v>
      </c>
      <c r="C369" s="17" t="str">
        <f>TEXT(sentiment[[#This Row],[date]],"MMM-YYYY")</f>
        <v>May-2025</v>
      </c>
      <c r="D369" s="18" t="s">
        <v>7</v>
      </c>
      <c r="E369" s="18" t="s">
        <v>11</v>
      </c>
      <c r="F369" s="18" t="s">
        <v>31</v>
      </c>
      <c r="G369" s="18">
        <v>3</v>
      </c>
      <c r="H369" s="19" t="s">
        <v>10</v>
      </c>
    </row>
    <row r="370" spans="1:8" ht="17.399999999999999" thickBot="1" x14ac:dyDescent="0.45">
      <c r="A370" s="16">
        <v>369</v>
      </c>
      <c r="B370" s="17">
        <v>45786</v>
      </c>
      <c r="C370" s="17" t="str">
        <f>TEXT(sentiment[[#This Row],[date]],"MMM-YYYY")</f>
        <v>May-2025</v>
      </c>
      <c r="D370" s="18" t="s">
        <v>17</v>
      </c>
      <c r="E370" s="18" t="s">
        <v>11</v>
      </c>
      <c r="F370" s="18" t="s">
        <v>34</v>
      </c>
      <c r="G370" s="18">
        <v>4</v>
      </c>
      <c r="H370" s="19" t="s">
        <v>10</v>
      </c>
    </row>
    <row r="371" spans="1:8" ht="17.399999999999999" thickBot="1" x14ac:dyDescent="0.45">
      <c r="A371" s="16">
        <v>370</v>
      </c>
      <c r="B371" s="17">
        <v>45366</v>
      </c>
      <c r="C371" s="17" t="str">
        <f>TEXT(sentiment[[#This Row],[date]],"MMM-YYYY")</f>
        <v>Mar-2024</v>
      </c>
      <c r="D371" s="18" t="s">
        <v>7</v>
      </c>
      <c r="E371" s="18" t="s">
        <v>15</v>
      </c>
      <c r="F371" s="18" t="s">
        <v>25</v>
      </c>
      <c r="G371" s="18">
        <v>2</v>
      </c>
      <c r="H371" s="19" t="s">
        <v>20</v>
      </c>
    </row>
    <row r="372" spans="1:8" ht="17.399999999999999" thickBot="1" x14ac:dyDescent="0.45">
      <c r="A372" s="16">
        <v>371</v>
      </c>
      <c r="B372" s="17">
        <v>45787</v>
      </c>
      <c r="C372" s="17" t="str">
        <f>TEXT(sentiment[[#This Row],[date]],"MMM-YYYY")</f>
        <v>May-2025</v>
      </c>
      <c r="D372" s="18" t="s">
        <v>22</v>
      </c>
      <c r="E372" s="18" t="s">
        <v>15</v>
      </c>
      <c r="F372" s="18" t="s">
        <v>23</v>
      </c>
      <c r="G372" s="18">
        <v>2</v>
      </c>
      <c r="H372" s="19" t="s">
        <v>20</v>
      </c>
    </row>
    <row r="373" spans="1:8" ht="17.399999999999999" thickBot="1" x14ac:dyDescent="0.45">
      <c r="A373" s="16">
        <v>372</v>
      </c>
      <c r="B373" s="17">
        <v>45612</v>
      </c>
      <c r="C373" s="17" t="str">
        <f>TEXT(sentiment[[#This Row],[date]],"MMM-YYYY")</f>
        <v>Nov-2024</v>
      </c>
      <c r="D373" s="18" t="s">
        <v>26</v>
      </c>
      <c r="E373" s="18" t="s">
        <v>11</v>
      </c>
      <c r="F373" s="18" t="s">
        <v>31</v>
      </c>
      <c r="G373" s="18">
        <v>3</v>
      </c>
      <c r="H373" s="19" t="s">
        <v>10</v>
      </c>
    </row>
    <row r="374" spans="1:8" ht="17.399999999999999" thickBot="1" x14ac:dyDescent="0.45">
      <c r="A374" s="16">
        <v>373</v>
      </c>
      <c r="B374" s="17">
        <v>45700</v>
      </c>
      <c r="C374" s="17" t="str">
        <f>TEXT(sentiment[[#This Row],[date]],"MMM-YYYY")</f>
        <v>Feb-2025</v>
      </c>
      <c r="D374" s="18" t="s">
        <v>17</v>
      </c>
      <c r="E374" s="18" t="s">
        <v>8</v>
      </c>
      <c r="F374" s="18" t="s">
        <v>30</v>
      </c>
      <c r="G374" s="18">
        <v>4</v>
      </c>
      <c r="H374" s="19" t="s">
        <v>10</v>
      </c>
    </row>
    <row r="375" spans="1:8" ht="17.399999999999999" thickBot="1" x14ac:dyDescent="0.45">
      <c r="A375" s="16">
        <v>374</v>
      </c>
      <c r="B375" s="17">
        <v>45618</v>
      </c>
      <c r="C375" s="17" t="str">
        <f>TEXT(sentiment[[#This Row],[date]],"MMM-YYYY")</f>
        <v>Nov-2024</v>
      </c>
      <c r="D375" s="18" t="s">
        <v>17</v>
      </c>
      <c r="E375" s="18" t="s">
        <v>8</v>
      </c>
      <c r="F375" s="18" t="s">
        <v>33</v>
      </c>
      <c r="G375" s="18">
        <v>3</v>
      </c>
      <c r="H375" s="19" t="s">
        <v>10</v>
      </c>
    </row>
    <row r="376" spans="1:8" ht="17.399999999999999" thickBot="1" x14ac:dyDescent="0.45">
      <c r="A376" s="16">
        <v>375</v>
      </c>
      <c r="B376" s="17">
        <v>45545</v>
      </c>
      <c r="C376" s="17" t="str">
        <f>TEXT(sentiment[[#This Row],[date]],"MMM-YYYY")</f>
        <v>Sep-2024</v>
      </c>
      <c r="D376" s="18" t="s">
        <v>17</v>
      </c>
      <c r="E376" s="18" t="s">
        <v>15</v>
      </c>
      <c r="F376" s="18" t="s">
        <v>19</v>
      </c>
      <c r="G376" s="18">
        <v>2</v>
      </c>
      <c r="H376" s="19" t="s">
        <v>20</v>
      </c>
    </row>
    <row r="377" spans="1:8" ht="17.399999999999999" thickBot="1" x14ac:dyDescent="0.45">
      <c r="A377" s="16">
        <v>376</v>
      </c>
      <c r="B377" s="17">
        <v>45922</v>
      </c>
      <c r="C377" s="17" t="str">
        <f>TEXT(sentiment[[#This Row],[date]],"MMM-YYYY")</f>
        <v>Sep-2025</v>
      </c>
      <c r="D377" s="18" t="s">
        <v>22</v>
      </c>
      <c r="E377" s="18" t="s">
        <v>15</v>
      </c>
      <c r="F377" s="18" t="s">
        <v>25</v>
      </c>
      <c r="G377" s="18">
        <v>2</v>
      </c>
      <c r="H377" s="19" t="s">
        <v>20</v>
      </c>
    </row>
    <row r="378" spans="1:8" ht="17.399999999999999" thickBot="1" x14ac:dyDescent="0.45">
      <c r="A378" s="16">
        <v>377</v>
      </c>
      <c r="B378" s="17">
        <v>45486</v>
      </c>
      <c r="C378" s="17" t="str">
        <f>TEXT(sentiment[[#This Row],[date]],"MMM-YYYY")</f>
        <v>Jul-2024</v>
      </c>
      <c r="D378" s="18" t="s">
        <v>26</v>
      </c>
      <c r="E378" s="18" t="s">
        <v>15</v>
      </c>
      <c r="F378" s="18" t="s">
        <v>27</v>
      </c>
      <c r="G378" s="18">
        <v>2</v>
      </c>
      <c r="H378" s="19" t="s">
        <v>20</v>
      </c>
    </row>
    <row r="379" spans="1:8" ht="17.399999999999999" thickBot="1" x14ac:dyDescent="0.45">
      <c r="A379" s="16">
        <v>378</v>
      </c>
      <c r="B379" s="17">
        <v>45802</v>
      </c>
      <c r="C379" s="17" t="str">
        <f>TEXT(sentiment[[#This Row],[date]],"MMM-YYYY")</f>
        <v>May-2025</v>
      </c>
      <c r="D379" s="18" t="s">
        <v>21</v>
      </c>
      <c r="E379" s="18" t="s">
        <v>8</v>
      </c>
      <c r="F379" s="18" t="s">
        <v>33</v>
      </c>
      <c r="G379" s="18">
        <v>4</v>
      </c>
      <c r="H379" s="19" t="s">
        <v>10</v>
      </c>
    </row>
    <row r="380" spans="1:8" ht="17.399999999999999" thickBot="1" x14ac:dyDescent="0.45">
      <c r="A380" s="16">
        <v>379</v>
      </c>
      <c r="B380" s="17">
        <v>45809</v>
      </c>
      <c r="C380" s="17" t="str">
        <f>TEXT(sentiment[[#This Row],[date]],"MMM-YYYY")</f>
        <v>Jun-2025</v>
      </c>
      <c r="D380" s="18" t="s">
        <v>22</v>
      </c>
      <c r="E380" s="18" t="s">
        <v>15</v>
      </c>
      <c r="F380" s="18" t="s">
        <v>16</v>
      </c>
      <c r="G380" s="18">
        <v>5</v>
      </c>
      <c r="H380" s="19" t="s">
        <v>13</v>
      </c>
    </row>
    <row r="381" spans="1:8" ht="17.399999999999999" thickBot="1" x14ac:dyDescent="0.45">
      <c r="A381" s="16">
        <v>380</v>
      </c>
      <c r="B381" s="17">
        <v>45341</v>
      </c>
      <c r="C381" s="17" t="str">
        <f>TEXT(sentiment[[#This Row],[date]],"MMM-YYYY")</f>
        <v>Feb-2024</v>
      </c>
      <c r="D381" s="18" t="s">
        <v>14</v>
      </c>
      <c r="E381" s="18" t="s">
        <v>8</v>
      </c>
      <c r="F381" s="18" t="s">
        <v>34</v>
      </c>
      <c r="G381" s="18">
        <v>4</v>
      </c>
      <c r="H381" s="19" t="s">
        <v>10</v>
      </c>
    </row>
    <row r="382" spans="1:8" ht="17.399999999999999" thickBot="1" x14ac:dyDescent="0.45">
      <c r="A382" s="16">
        <v>381</v>
      </c>
      <c r="B382" s="17">
        <v>45584</v>
      </c>
      <c r="C382" s="17" t="str">
        <f>TEXT(sentiment[[#This Row],[date]],"MMM-YYYY")</f>
        <v>Oct-2024</v>
      </c>
      <c r="D382" s="18" t="s">
        <v>18</v>
      </c>
      <c r="E382" s="18" t="s">
        <v>15</v>
      </c>
      <c r="F382" s="18" t="s">
        <v>33</v>
      </c>
      <c r="G382" s="18">
        <v>4</v>
      </c>
      <c r="H382" s="19" t="s">
        <v>10</v>
      </c>
    </row>
    <row r="383" spans="1:8" ht="17.399999999999999" thickBot="1" x14ac:dyDescent="0.45">
      <c r="A383" s="16">
        <v>382</v>
      </c>
      <c r="B383" s="17">
        <v>45562</v>
      </c>
      <c r="C383" s="17" t="str">
        <f>TEXT(sentiment[[#This Row],[date]],"MMM-YYYY")</f>
        <v>Sep-2024</v>
      </c>
      <c r="D383" s="18" t="s">
        <v>7</v>
      </c>
      <c r="E383" s="18" t="s">
        <v>8</v>
      </c>
      <c r="F383" s="18" t="s">
        <v>27</v>
      </c>
      <c r="G383" s="18">
        <v>1</v>
      </c>
      <c r="H383" s="19" t="s">
        <v>20</v>
      </c>
    </row>
    <row r="384" spans="1:8" ht="17.399999999999999" thickBot="1" x14ac:dyDescent="0.45">
      <c r="A384" s="16">
        <v>383</v>
      </c>
      <c r="B384" s="17">
        <v>45702</v>
      </c>
      <c r="C384" s="17" t="str">
        <f>TEXT(sentiment[[#This Row],[date]],"MMM-YYYY")</f>
        <v>Feb-2025</v>
      </c>
      <c r="D384" s="18" t="s">
        <v>14</v>
      </c>
      <c r="E384" s="18" t="s">
        <v>11</v>
      </c>
      <c r="F384" s="18" t="s">
        <v>24</v>
      </c>
      <c r="G384" s="18">
        <v>1</v>
      </c>
      <c r="H384" s="19" t="s">
        <v>20</v>
      </c>
    </row>
    <row r="385" spans="1:8" ht="17.399999999999999" thickBot="1" x14ac:dyDescent="0.45">
      <c r="A385" s="16">
        <v>384</v>
      </c>
      <c r="B385" s="17">
        <v>45858</v>
      </c>
      <c r="C385" s="17" t="str">
        <f>TEXT(sentiment[[#This Row],[date]],"MMM-YYYY")</f>
        <v>Jul-2025</v>
      </c>
      <c r="D385" s="18" t="s">
        <v>21</v>
      </c>
      <c r="E385" s="18" t="s">
        <v>15</v>
      </c>
      <c r="F385" s="18" t="s">
        <v>32</v>
      </c>
      <c r="G385" s="18">
        <v>5</v>
      </c>
      <c r="H385" s="19" t="s">
        <v>13</v>
      </c>
    </row>
    <row r="386" spans="1:8" ht="17.399999999999999" thickBot="1" x14ac:dyDescent="0.45">
      <c r="A386" s="16">
        <v>385</v>
      </c>
      <c r="B386" s="17">
        <v>45855</v>
      </c>
      <c r="C386" s="17" t="str">
        <f>TEXT(sentiment[[#This Row],[date]],"MMM-YYYY")</f>
        <v>Jul-2025</v>
      </c>
      <c r="D386" s="18" t="s">
        <v>21</v>
      </c>
      <c r="E386" s="18" t="s">
        <v>11</v>
      </c>
      <c r="F386" s="18" t="s">
        <v>30</v>
      </c>
      <c r="G386" s="18">
        <v>4</v>
      </c>
      <c r="H386" s="19" t="s">
        <v>10</v>
      </c>
    </row>
    <row r="387" spans="1:8" ht="17.399999999999999" thickBot="1" x14ac:dyDescent="0.45">
      <c r="A387" s="16">
        <v>386</v>
      </c>
      <c r="B387" s="17">
        <v>45391</v>
      </c>
      <c r="C387" s="17" t="str">
        <f>TEXT(sentiment[[#This Row],[date]],"MMM-YYYY")</f>
        <v>Apr-2024</v>
      </c>
      <c r="D387" s="18" t="s">
        <v>22</v>
      </c>
      <c r="E387" s="18" t="s">
        <v>8</v>
      </c>
      <c r="F387" s="18" t="s">
        <v>28</v>
      </c>
      <c r="G387" s="18">
        <v>4</v>
      </c>
      <c r="H387" s="19" t="s">
        <v>13</v>
      </c>
    </row>
    <row r="388" spans="1:8" ht="17.399999999999999" thickBot="1" x14ac:dyDescent="0.45">
      <c r="A388" s="16">
        <v>387</v>
      </c>
      <c r="B388" s="17">
        <v>45439</v>
      </c>
      <c r="C388" s="17" t="str">
        <f>TEXT(sentiment[[#This Row],[date]],"MMM-YYYY")</f>
        <v>May-2024</v>
      </c>
      <c r="D388" s="18" t="s">
        <v>17</v>
      </c>
      <c r="E388" s="18" t="s">
        <v>11</v>
      </c>
      <c r="F388" s="18" t="s">
        <v>30</v>
      </c>
      <c r="G388" s="18">
        <v>4</v>
      </c>
      <c r="H388" s="19" t="s">
        <v>10</v>
      </c>
    </row>
    <row r="389" spans="1:8" ht="17.399999999999999" thickBot="1" x14ac:dyDescent="0.45">
      <c r="A389" s="16">
        <v>388</v>
      </c>
      <c r="B389" s="17">
        <v>45338</v>
      </c>
      <c r="C389" s="17" t="str">
        <f>TEXT(sentiment[[#This Row],[date]],"MMM-YYYY")</f>
        <v>Feb-2024</v>
      </c>
      <c r="D389" s="18" t="s">
        <v>14</v>
      </c>
      <c r="E389" s="18" t="s">
        <v>15</v>
      </c>
      <c r="F389" s="18" t="s">
        <v>23</v>
      </c>
      <c r="G389" s="18">
        <v>1</v>
      </c>
      <c r="H389" s="19" t="s">
        <v>20</v>
      </c>
    </row>
    <row r="390" spans="1:8" ht="17.399999999999999" thickBot="1" x14ac:dyDescent="0.45">
      <c r="A390" s="16">
        <v>389</v>
      </c>
      <c r="B390" s="17">
        <v>45444</v>
      </c>
      <c r="C390" s="17" t="str">
        <f>TEXT(sentiment[[#This Row],[date]],"MMM-YYYY")</f>
        <v>Jun-2024</v>
      </c>
      <c r="D390" s="18" t="s">
        <v>18</v>
      </c>
      <c r="E390" s="18" t="s">
        <v>11</v>
      </c>
      <c r="F390" s="18" t="s">
        <v>25</v>
      </c>
      <c r="G390" s="18">
        <v>2</v>
      </c>
      <c r="H390" s="19" t="s">
        <v>20</v>
      </c>
    </row>
    <row r="391" spans="1:8" ht="17.399999999999999" thickBot="1" x14ac:dyDescent="0.45">
      <c r="A391" s="16">
        <v>390</v>
      </c>
      <c r="B391" s="17">
        <v>45458</v>
      </c>
      <c r="C391" s="17" t="str">
        <f>TEXT(sentiment[[#This Row],[date]],"MMM-YYYY")</f>
        <v>Jun-2024</v>
      </c>
      <c r="D391" s="18" t="s">
        <v>22</v>
      </c>
      <c r="E391" s="18" t="s">
        <v>11</v>
      </c>
      <c r="F391" s="18" t="s">
        <v>23</v>
      </c>
      <c r="G391" s="18">
        <v>2</v>
      </c>
      <c r="H391" s="19" t="s">
        <v>20</v>
      </c>
    </row>
    <row r="392" spans="1:8" ht="17.399999999999999" thickBot="1" x14ac:dyDescent="0.45">
      <c r="A392" s="16">
        <v>391</v>
      </c>
      <c r="B392" s="17">
        <v>45811</v>
      </c>
      <c r="C392" s="17" t="str">
        <f>TEXT(sentiment[[#This Row],[date]],"MMM-YYYY")</f>
        <v>Jun-2025</v>
      </c>
      <c r="D392" s="18" t="s">
        <v>26</v>
      </c>
      <c r="E392" s="18" t="s">
        <v>11</v>
      </c>
      <c r="F392" s="18" t="s">
        <v>30</v>
      </c>
      <c r="G392" s="18">
        <v>4</v>
      </c>
      <c r="H392" s="19" t="s">
        <v>10</v>
      </c>
    </row>
    <row r="393" spans="1:8" ht="17.399999999999999" thickBot="1" x14ac:dyDescent="0.45">
      <c r="A393" s="16">
        <v>392</v>
      </c>
      <c r="B393" s="17">
        <v>45778</v>
      </c>
      <c r="C393" s="17" t="str">
        <f>TEXT(sentiment[[#This Row],[date]],"MMM-YYYY")</f>
        <v>May-2025</v>
      </c>
      <c r="D393" s="18" t="s">
        <v>26</v>
      </c>
      <c r="E393" s="18" t="s">
        <v>15</v>
      </c>
      <c r="F393" s="18" t="s">
        <v>23</v>
      </c>
      <c r="G393" s="18">
        <v>2</v>
      </c>
      <c r="H393" s="19" t="s">
        <v>20</v>
      </c>
    </row>
    <row r="394" spans="1:8" ht="17.399999999999999" thickBot="1" x14ac:dyDescent="0.45">
      <c r="A394" s="16">
        <v>393</v>
      </c>
      <c r="B394" s="17">
        <v>45718</v>
      </c>
      <c r="C394" s="17" t="str">
        <f>TEXT(sentiment[[#This Row],[date]],"MMM-YYYY")</f>
        <v>Mar-2025</v>
      </c>
      <c r="D394" s="18" t="s">
        <v>18</v>
      </c>
      <c r="E394" s="18" t="s">
        <v>8</v>
      </c>
      <c r="F394" s="18" t="s">
        <v>19</v>
      </c>
      <c r="G394" s="18">
        <v>1</v>
      </c>
      <c r="H394" s="19" t="s">
        <v>20</v>
      </c>
    </row>
    <row r="395" spans="1:8" ht="17.399999999999999" thickBot="1" x14ac:dyDescent="0.45">
      <c r="A395" s="16">
        <v>394</v>
      </c>
      <c r="B395" s="17">
        <v>45563</v>
      </c>
      <c r="C395" s="17" t="str">
        <f>TEXT(sentiment[[#This Row],[date]],"MMM-YYYY")</f>
        <v>Sep-2024</v>
      </c>
      <c r="D395" s="18" t="s">
        <v>7</v>
      </c>
      <c r="E395" s="18" t="s">
        <v>11</v>
      </c>
      <c r="F395" s="18" t="s">
        <v>30</v>
      </c>
      <c r="G395" s="18">
        <v>4</v>
      </c>
      <c r="H395" s="19" t="s">
        <v>10</v>
      </c>
    </row>
    <row r="396" spans="1:8" ht="17.399999999999999" thickBot="1" x14ac:dyDescent="0.45">
      <c r="A396" s="16">
        <v>395</v>
      </c>
      <c r="B396" s="17">
        <v>45889</v>
      </c>
      <c r="C396" s="17" t="str">
        <f>TEXT(sentiment[[#This Row],[date]],"MMM-YYYY")</f>
        <v>Aug-2025</v>
      </c>
      <c r="D396" s="18" t="s">
        <v>22</v>
      </c>
      <c r="E396" s="18" t="s">
        <v>15</v>
      </c>
      <c r="F396" s="18" t="s">
        <v>12</v>
      </c>
      <c r="G396" s="18">
        <v>4</v>
      </c>
      <c r="H396" s="19" t="s">
        <v>13</v>
      </c>
    </row>
    <row r="397" spans="1:8" ht="17.399999999999999" thickBot="1" x14ac:dyDescent="0.45">
      <c r="A397" s="16">
        <v>396</v>
      </c>
      <c r="B397" s="17">
        <v>45443</v>
      </c>
      <c r="C397" s="17" t="str">
        <f>TEXT(sentiment[[#This Row],[date]],"MMM-YYYY")</f>
        <v>May-2024</v>
      </c>
      <c r="D397" s="18" t="s">
        <v>26</v>
      </c>
      <c r="E397" s="18" t="s">
        <v>11</v>
      </c>
      <c r="F397" s="18" t="s">
        <v>9</v>
      </c>
      <c r="G397" s="18">
        <v>4</v>
      </c>
      <c r="H397" s="19" t="s">
        <v>10</v>
      </c>
    </row>
    <row r="398" spans="1:8" ht="17.399999999999999" thickBot="1" x14ac:dyDescent="0.45">
      <c r="A398" s="16">
        <v>397</v>
      </c>
      <c r="B398" s="17">
        <v>45487</v>
      </c>
      <c r="C398" s="17" t="str">
        <f>TEXT(sentiment[[#This Row],[date]],"MMM-YYYY")</f>
        <v>Jul-2024</v>
      </c>
      <c r="D398" s="18" t="s">
        <v>14</v>
      </c>
      <c r="E398" s="18" t="s">
        <v>8</v>
      </c>
      <c r="F398" s="18" t="s">
        <v>28</v>
      </c>
      <c r="G398" s="18">
        <v>4</v>
      </c>
      <c r="H398" s="19" t="s">
        <v>13</v>
      </c>
    </row>
    <row r="399" spans="1:8" ht="17.399999999999999" thickBot="1" x14ac:dyDescent="0.45">
      <c r="A399" s="16">
        <v>398</v>
      </c>
      <c r="B399" s="17">
        <v>45714</v>
      </c>
      <c r="C399" s="17" t="str">
        <f>TEXT(sentiment[[#This Row],[date]],"MMM-YYYY")</f>
        <v>Feb-2025</v>
      </c>
      <c r="D399" s="18" t="s">
        <v>7</v>
      </c>
      <c r="E399" s="18" t="s">
        <v>15</v>
      </c>
      <c r="F399" s="18" t="s">
        <v>27</v>
      </c>
      <c r="G399" s="18">
        <v>1</v>
      </c>
      <c r="H399" s="19" t="s">
        <v>20</v>
      </c>
    </row>
    <row r="400" spans="1:8" ht="17.399999999999999" thickBot="1" x14ac:dyDescent="0.45">
      <c r="A400" s="16">
        <v>399</v>
      </c>
      <c r="B400" s="17">
        <v>45355</v>
      </c>
      <c r="C400" s="17" t="str">
        <f>TEXT(sentiment[[#This Row],[date]],"MMM-YYYY")</f>
        <v>Mar-2024</v>
      </c>
      <c r="D400" s="18" t="s">
        <v>7</v>
      </c>
      <c r="E400" s="18" t="s">
        <v>15</v>
      </c>
      <c r="F400" s="18" t="s">
        <v>30</v>
      </c>
      <c r="G400" s="18">
        <v>4</v>
      </c>
      <c r="H400" s="19" t="s">
        <v>10</v>
      </c>
    </row>
    <row r="401" spans="1:8" ht="17.399999999999999" thickBot="1" x14ac:dyDescent="0.45">
      <c r="A401" s="16">
        <v>400</v>
      </c>
      <c r="B401" s="17">
        <v>45970</v>
      </c>
      <c r="C401" s="17" t="str">
        <f>TEXT(sentiment[[#This Row],[date]],"MMM-YYYY")</f>
        <v>Nov-2025</v>
      </c>
      <c r="D401" s="18" t="s">
        <v>22</v>
      </c>
      <c r="E401" s="18" t="s">
        <v>11</v>
      </c>
      <c r="F401" s="18" t="s">
        <v>32</v>
      </c>
      <c r="G401" s="18">
        <v>5</v>
      </c>
      <c r="H401" s="19" t="s">
        <v>13</v>
      </c>
    </row>
    <row r="402" spans="1:8" ht="17.399999999999999" thickBot="1" x14ac:dyDescent="0.45">
      <c r="A402" s="16">
        <v>401</v>
      </c>
      <c r="B402" s="17">
        <v>45762</v>
      </c>
      <c r="C402" s="17" t="str">
        <f>TEXT(sentiment[[#This Row],[date]],"MMM-YYYY")</f>
        <v>Apr-2025</v>
      </c>
      <c r="D402" s="18" t="s">
        <v>18</v>
      </c>
      <c r="E402" s="18" t="s">
        <v>8</v>
      </c>
      <c r="F402" s="18" t="s">
        <v>24</v>
      </c>
      <c r="G402" s="18">
        <v>1</v>
      </c>
      <c r="H402" s="19" t="s">
        <v>20</v>
      </c>
    </row>
    <row r="403" spans="1:8" ht="17.399999999999999" thickBot="1" x14ac:dyDescent="0.45">
      <c r="A403" s="16">
        <v>402</v>
      </c>
      <c r="B403" s="17">
        <v>45916</v>
      </c>
      <c r="C403" s="17" t="str">
        <f>TEXT(sentiment[[#This Row],[date]],"MMM-YYYY")</f>
        <v>Sep-2025</v>
      </c>
      <c r="D403" s="18" t="s">
        <v>22</v>
      </c>
      <c r="E403" s="18" t="s">
        <v>15</v>
      </c>
      <c r="F403" s="18" t="s">
        <v>25</v>
      </c>
      <c r="G403" s="18">
        <v>2</v>
      </c>
      <c r="H403" s="19" t="s">
        <v>20</v>
      </c>
    </row>
    <row r="404" spans="1:8" ht="17.399999999999999" thickBot="1" x14ac:dyDescent="0.45">
      <c r="A404" s="16">
        <v>403</v>
      </c>
      <c r="B404" s="17">
        <v>45522</v>
      </c>
      <c r="C404" s="17" t="str">
        <f>TEXT(sentiment[[#This Row],[date]],"MMM-YYYY")</f>
        <v>Aug-2024</v>
      </c>
      <c r="D404" s="18" t="s">
        <v>21</v>
      </c>
      <c r="E404" s="18" t="s">
        <v>8</v>
      </c>
      <c r="F404" s="18" t="s">
        <v>25</v>
      </c>
      <c r="G404" s="18">
        <v>2</v>
      </c>
      <c r="H404" s="19" t="s">
        <v>20</v>
      </c>
    </row>
    <row r="405" spans="1:8" ht="17.399999999999999" thickBot="1" x14ac:dyDescent="0.45">
      <c r="A405" s="16">
        <v>404</v>
      </c>
      <c r="B405" s="17">
        <v>45616</v>
      </c>
      <c r="C405" s="17" t="str">
        <f>TEXT(sentiment[[#This Row],[date]],"MMM-YYYY")</f>
        <v>Nov-2024</v>
      </c>
      <c r="D405" s="18" t="s">
        <v>22</v>
      </c>
      <c r="E405" s="18" t="s">
        <v>8</v>
      </c>
      <c r="F405" s="18" t="s">
        <v>30</v>
      </c>
      <c r="G405" s="18">
        <v>4</v>
      </c>
      <c r="H405" s="19" t="s">
        <v>10</v>
      </c>
    </row>
    <row r="406" spans="1:8" ht="17.399999999999999" thickBot="1" x14ac:dyDescent="0.45">
      <c r="A406" s="16">
        <v>405</v>
      </c>
      <c r="B406" s="17">
        <v>45586</v>
      </c>
      <c r="C406" s="17" t="str">
        <f>TEXT(sentiment[[#This Row],[date]],"MMM-YYYY")</f>
        <v>Oct-2024</v>
      </c>
      <c r="D406" s="18" t="s">
        <v>14</v>
      </c>
      <c r="E406" s="18" t="s">
        <v>11</v>
      </c>
      <c r="F406" s="18" t="s">
        <v>30</v>
      </c>
      <c r="G406" s="18">
        <v>4</v>
      </c>
      <c r="H406" s="19" t="s">
        <v>10</v>
      </c>
    </row>
    <row r="407" spans="1:8" ht="17.399999999999999" thickBot="1" x14ac:dyDescent="0.45">
      <c r="A407" s="16">
        <v>406</v>
      </c>
      <c r="B407" s="17">
        <v>45645</v>
      </c>
      <c r="C407" s="17" t="str">
        <f>TEXT(sentiment[[#This Row],[date]],"MMM-YYYY")</f>
        <v>Dec-2024</v>
      </c>
      <c r="D407" s="18" t="s">
        <v>26</v>
      </c>
      <c r="E407" s="18" t="s">
        <v>15</v>
      </c>
      <c r="F407" s="18" t="s">
        <v>23</v>
      </c>
      <c r="G407" s="18">
        <v>2</v>
      </c>
      <c r="H407" s="19" t="s">
        <v>20</v>
      </c>
    </row>
    <row r="408" spans="1:8" ht="17.399999999999999" thickBot="1" x14ac:dyDescent="0.45">
      <c r="A408" s="16">
        <v>407</v>
      </c>
      <c r="B408" s="17">
        <v>45372</v>
      </c>
      <c r="C408" s="17" t="str">
        <f>TEXT(sentiment[[#This Row],[date]],"MMM-YYYY")</f>
        <v>Mar-2024</v>
      </c>
      <c r="D408" s="18" t="s">
        <v>21</v>
      </c>
      <c r="E408" s="18" t="s">
        <v>8</v>
      </c>
      <c r="F408" s="18" t="s">
        <v>28</v>
      </c>
      <c r="G408" s="18">
        <v>5</v>
      </c>
      <c r="H408" s="19" t="s">
        <v>13</v>
      </c>
    </row>
    <row r="409" spans="1:8" ht="17.399999999999999" thickBot="1" x14ac:dyDescent="0.45">
      <c r="A409" s="16">
        <v>408</v>
      </c>
      <c r="B409" s="17">
        <v>45511</v>
      </c>
      <c r="C409" s="17" t="str">
        <f>TEXT(sentiment[[#This Row],[date]],"MMM-YYYY")</f>
        <v>Aug-2024</v>
      </c>
      <c r="D409" s="18" t="s">
        <v>17</v>
      </c>
      <c r="E409" s="18" t="s">
        <v>11</v>
      </c>
      <c r="F409" s="18" t="s">
        <v>31</v>
      </c>
      <c r="G409" s="18">
        <v>4</v>
      </c>
      <c r="H409" s="19" t="s">
        <v>10</v>
      </c>
    </row>
    <row r="410" spans="1:8" ht="17.399999999999999" thickBot="1" x14ac:dyDescent="0.45">
      <c r="A410" s="16">
        <v>409</v>
      </c>
      <c r="B410" s="17">
        <v>45432</v>
      </c>
      <c r="C410" s="17" t="str">
        <f>TEXT(sentiment[[#This Row],[date]],"MMM-YYYY")</f>
        <v>May-2024</v>
      </c>
      <c r="D410" s="18" t="s">
        <v>14</v>
      </c>
      <c r="E410" s="18" t="s">
        <v>11</v>
      </c>
      <c r="F410" s="18" t="s">
        <v>30</v>
      </c>
      <c r="G410" s="18">
        <v>4</v>
      </c>
      <c r="H410" s="19" t="s">
        <v>10</v>
      </c>
    </row>
    <row r="411" spans="1:8" ht="17.399999999999999" thickBot="1" x14ac:dyDescent="0.45">
      <c r="A411" s="16">
        <v>410</v>
      </c>
      <c r="B411" s="17">
        <v>45343</v>
      </c>
      <c r="C411" s="17" t="str">
        <f>TEXT(sentiment[[#This Row],[date]],"MMM-YYYY")</f>
        <v>Feb-2024</v>
      </c>
      <c r="D411" s="18" t="s">
        <v>7</v>
      </c>
      <c r="E411" s="18" t="s">
        <v>11</v>
      </c>
      <c r="F411" s="18" t="s">
        <v>16</v>
      </c>
      <c r="G411" s="18">
        <v>4</v>
      </c>
      <c r="H411" s="19" t="s">
        <v>13</v>
      </c>
    </row>
    <row r="412" spans="1:8" ht="17.399999999999999" thickBot="1" x14ac:dyDescent="0.45">
      <c r="A412" s="16">
        <v>411</v>
      </c>
      <c r="B412" s="17">
        <v>45345</v>
      </c>
      <c r="C412" s="17" t="str">
        <f>TEXT(sentiment[[#This Row],[date]],"MMM-YYYY")</f>
        <v>Feb-2024</v>
      </c>
      <c r="D412" s="18" t="s">
        <v>14</v>
      </c>
      <c r="E412" s="18" t="s">
        <v>8</v>
      </c>
      <c r="F412" s="18" t="s">
        <v>31</v>
      </c>
      <c r="G412" s="18">
        <v>3</v>
      </c>
      <c r="H412" s="19" t="s">
        <v>10</v>
      </c>
    </row>
    <row r="413" spans="1:8" ht="17.399999999999999" thickBot="1" x14ac:dyDescent="0.45">
      <c r="A413" s="16">
        <v>412</v>
      </c>
      <c r="B413" s="17">
        <v>45394</v>
      </c>
      <c r="C413" s="17" t="str">
        <f>TEXT(sentiment[[#This Row],[date]],"MMM-YYYY")</f>
        <v>Apr-2024</v>
      </c>
      <c r="D413" s="18" t="s">
        <v>7</v>
      </c>
      <c r="E413" s="18" t="s">
        <v>15</v>
      </c>
      <c r="F413" s="18" t="s">
        <v>33</v>
      </c>
      <c r="G413" s="18">
        <v>4</v>
      </c>
      <c r="H413" s="19" t="s">
        <v>10</v>
      </c>
    </row>
    <row r="414" spans="1:8" ht="17.399999999999999" thickBot="1" x14ac:dyDescent="0.45">
      <c r="A414" s="16">
        <v>413</v>
      </c>
      <c r="B414" s="17">
        <v>45708</v>
      </c>
      <c r="C414" s="17" t="str">
        <f>TEXT(sentiment[[#This Row],[date]],"MMM-YYYY")</f>
        <v>Feb-2025</v>
      </c>
      <c r="D414" s="18" t="s">
        <v>7</v>
      </c>
      <c r="E414" s="18" t="s">
        <v>8</v>
      </c>
      <c r="F414" s="18" t="s">
        <v>34</v>
      </c>
      <c r="G414" s="18">
        <v>3</v>
      </c>
      <c r="H414" s="19" t="s">
        <v>10</v>
      </c>
    </row>
    <row r="415" spans="1:8" ht="17.399999999999999" thickBot="1" x14ac:dyDescent="0.45">
      <c r="A415" s="16">
        <v>414</v>
      </c>
      <c r="B415" s="17">
        <v>45586</v>
      </c>
      <c r="C415" s="17" t="str">
        <f>TEXT(sentiment[[#This Row],[date]],"MMM-YYYY")</f>
        <v>Oct-2024</v>
      </c>
      <c r="D415" s="18" t="s">
        <v>21</v>
      </c>
      <c r="E415" s="18" t="s">
        <v>8</v>
      </c>
      <c r="F415" s="18" t="s">
        <v>33</v>
      </c>
      <c r="G415" s="18">
        <v>3</v>
      </c>
      <c r="H415" s="19" t="s">
        <v>10</v>
      </c>
    </row>
    <row r="416" spans="1:8" ht="17.399999999999999" thickBot="1" x14ac:dyDescent="0.45">
      <c r="A416" s="16">
        <v>415</v>
      </c>
      <c r="B416" s="17">
        <v>45839</v>
      </c>
      <c r="C416" s="17" t="str">
        <f>TEXT(sentiment[[#This Row],[date]],"MMM-YYYY")</f>
        <v>Jul-2025</v>
      </c>
      <c r="D416" s="18" t="s">
        <v>7</v>
      </c>
      <c r="E416" s="18" t="s">
        <v>11</v>
      </c>
      <c r="F416" s="18" t="s">
        <v>29</v>
      </c>
      <c r="G416" s="18">
        <v>4</v>
      </c>
      <c r="H416" s="19" t="s">
        <v>13</v>
      </c>
    </row>
    <row r="417" spans="1:8" ht="17.399999999999999" thickBot="1" x14ac:dyDescent="0.45">
      <c r="A417" s="16">
        <v>416</v>
      </c>
      <c r="B417" s="17">
        <v>45472</v>
      </c>
      <c r="C417" s="17" t="str">
        <f>TEXT(sentiment[[#This Row],[date]],"MMM-YYYY")</f>
        <v>Jun-2024</v>
      </c>
      <c r="D417" s="18" t="s">
        <v>14</v>
      </c>
      <c r="E417" s="18" t="s">
        <v>8</v>
      </c>
      <c r="F417" s="18" t="s">
        <v>32</v>
      </c>
      <c r="G417" s="18">
        <v>5</v>
      </c>
      <c r="H417" s="19" t="s">
        <v>13</v>
      </c>
    </row>
    <row r="418" spans="1:8" ht="17.399999999999999" thickBot="1" x14ac:dyDescent="0.45">
      <c r="A418" s="16">
        <v>417</v>
      </c>
      <c r="B418" s="17">
        <v>45330</v>
      </c>
      <c r="C418" s="17" t="str">
        <f>TEXT(sentiment[[#This Row],[date]],"MMM-YYYY")</f>
        <v>Feb-2024</v>
      </c>
      <c r="D418" s="18" t="s">
        <v>14</v>
      </c>
      <c r="E418" s="18" t="s">
        <v>8</v>
      </c>
      <c r="F418" s="18" t="s">
        <v>12</v>
      </c>
      <c r="G418" s="18">
        <v>5</v>
      </c>
      <c r="H418" s="19" t="s">
        <v>13</v>
      </c>
    </row>
    <row r="419" spans="1:8" ht="17.399999999999999" thickBot="1" x14ac:dyDescent="0.45">
      <c r="A419" s="16">
        <v>418</v>
      </c>
      <c r="B419" s="17">
        <v>45635</v>
      </c>
      <c r="C419" s="17" t="str">
        <f>TEXT(sentiment[[#This Row],[date]],"MMM-YYYY")</f>
        <v>Dec-2024</v>
      </c>
      <c r="D419" s="18" t="s">
        <v>21</v>
      </c>
      <c r="E419" s="18" t="s">
        <v>8</v>
      </c>
      <c r="F419" s="18" t="s">
        <v>30</v>
      </c>
      <c r="G419" s="18">
        <v>3</v>
      </c>
      <c r="H419" s="19" t="s">
        <v>10</v>
      </c>
    </row>
    <row r="420" spans="1:8" ht="17.399999999999999" thickBot="1" x14ac:dyDescent="0.45">
      <c r="A420" s="16">
        <v>419</v>
      </c>
      <c r="B420" s="17">
        <v>45429</v>
      </c>
      <c r="C420" s="17" t="str">
        <f>TEXT(sentiment[[#This Row],[date]],"MMM-YYYY")</f>
        <v>May-2024</v>
      </c>
      <c r="D420" s="18" t="s">
        <v>26</v>
      </c>
      <c r="E420" s="18" t="s">
        <v>11</v>
      </c>
      <c r="F420" s="18" t="s">
        <v>34</v>
      </c>
      <c r="G420" s="18">
        <v>4</v>
      </c>
      <c r="H420" s="19" t="s">
        <v>10</v>
      </c>
    </row>
    <row r="421" spans="1:8" ht="17.399999999999999" thickBot="1" x14ac:dyDescent="0.45">
      <c r="A421" s="16">
        <v>420</v>
      </c>
      <c r="B421" s="17">
        <v>45407</v>
      </c>
      <c r="C421" s="17" t="str">
        <f>TEXT(sentiment[[#This Row],[date]],"MMM-YYYY")</f>
        <v>Apr-2024</v>
      </c>
      <c r="D421" s="18" t="s">
        <v>21</v>
      </c>
      <c r="E421" s="18" t="s">
        <v>15</v>
      </c>
      <c r="F421" s="18" t="s">
        <v>27</v>
      </c>
      <c r="G421" s="18">
        <v>1</v>
      </c>
      <c r="H421" s="19" t="s">
        <v>20</v>
      </c>
    </row>
    <row r="422" spans="1:8" ht="17.399999999999999" thickBot="1" x14ac:dyDescent="0.45">
      <c r="A422" s="16">
        <v>421</v>
      </c>
      <c r="B422" s="17">
        <v>45482</v>
      </c>
      <c r="C422" s="17" t="str">
        <f>TEXT(sentiment[[#This Row],[date]],"MMM-YYYY")</f>
        <v>Jul-2024</v>
      </c>
      <c r="D422" s="18" t="s">
        <v>14</v>
      </c>
      <c r="E422" s="18" t="s">
        <v>11</v>
      </c>
      <c r="F422" s="18" t="s">
        <v>31</v>
      </c>
      <c r="G422" s="18">
        <v>4</v>
      </c>
      <c r="H422" s="19" t="s">
        <v>10</v>
      </c>
    </row>
    <row r="423" spans="1:8" ht="17.399999999999999" thickBot="1" x14ac:dyDescent="0.45">
      <c r="A423" s="16">
        <v>422</v>
      </c>
      <c r="B423" s="17">
        <v>45471</v>
      </c>
      <c r="C423" s="17" t="str">
        <f>TEXT(sentiment[[#This Row],[date]],"MMM-YYYY")</f>
        <v>Jun-2024</v>
      </c>
      <c r="D423" s="18" t="s">
        <v>18</v>
      </c>
      <c r="E423" s="18" t="s">
        <v>11</v>
      </c>
      <c r="F423" s="18" t="s">
        <v>27</v>
      </c>
      <c r="G423" s="18">
        <v>1</v>
      </c>
      <c r="H423" s="19" t="s">
        <v>20</v>
      </c>
    </row>
    <row r="424" spans="1:8" ht="17.399999999999999" thickBot="1" x14ac:dyDescent="0.45">
      <c r="A424" s="16">
        <v>423</v>
      </c>
      <c r="B424" s="17">
        <v>45380</v>
      </c>
      <c r="C424" s="17" t="str">
        <f>TEXT(sentiment[[#This Row],[date]],"MMM-YYYY")</f>
        <v>Mar-2024</v>
      </c>
      <c r="D424" s="18" t="s">
        <v>22</v>
      </c>
      <c r="E424" s="18" t="s">
        <v>11</v>
      </c>
      <c r="F424" s="18" t="s">
        <v>19</v>
      </c>
      <c r="G424" s="18">
        <v>2</v>
      </c>
      <c r="H424" s="19" t="s">
        <v>20</v>
      </c>
    </row>
    <row r="425" spans="1:8" ht="17.399999999999999" thickBot="1" x14ac:dyDescent="0.45">
      <c r="A425" s="16">
        <v>424</v>
      </c>
      <c r="B425" s="17">
        <v>45780</v>
      </c>
      <c r="C425" s="17" t="str">
        <f>TEXT(sentiment[[#This Row],[date]],"MMM-YYYY")</f>
        <v>May-2025</v>
      </c>
      <c r="D425" s="18" t="s">
        <v>21</v>
      </c>
      <c r="E425" s="18" t="s">
        <v>15</v>
      </c>
      <c r="F425" s="18" t="s">
        <v>29</v>
      </c>
      <c r="G425" s="18">
        <v>4</v>
      </c>
      <c r="H425" s="19" t="s">
        <v>13</v>
      </c>
    </row>
    <row r="426" spans="1:8" ht="17.399999999999999" thickBot="1" x14ac:dyDescent="0.45">
      <c r="A426" s="16">
        <v>425</v>
      </c>
      <c r="B426" s="17">
        <v>45533</v>
      </c>
      <c r="C426" s="17" t="str">
        <f>TEXT(sentiment[[#This Row],[date]],"MMM-YYYY")</f>
        <v>Aug-2024</v>
      </c>
      <c r="D426" s="18" t="s">
        <v>22</v>
      </c>
      <c r="E426" s="18" t="s">
        <v>8</v>
      </c>
      <c r="F426" s="18" t="s">
        <v>23</v>
      </c>
      <c r="G426" s="18">
        <v>2</v>
      </c>
      <c r="H426" s="19" t="s">
        <v>20</v>
      </c>
    </row>
    <row r="427" spans="1:8" ht="17.399999999999999" thickBot="1" x14ac:dyDescent="0.45">
      <c r="A427" s="16">
        <v>426</v>
      </c>
      <c r="B427" s="17">
        <v>45559</v>
      </c>
      <c r="C427" s="17" t="str">
        <f>TEXT(sentiment[[#This Row],[date]],"MMM-YYYY")</f>
        <v>Sep-2024</v>
      </c>
      <c r="D427" s="18" t="s">
        <v>7</v>
      </c>
      <c r="E427" s="18" t="s">
        <v>8</v>
      </c>
      <c r="F427" s="18" t="s">
        <v>25</v>
      </c>
      <c r="G427" s="18">
        <v>1</v>
      </c>
      <c r="H427" s="19" t="s">
        <v>20</v>
      </c>
    </row>
    <row r="428" spans="1:8" ht="17.399999999999999" thickBot="1" x14ac:dyDescent="0.45">
      <c r="A428" s="16">
        <v>427</v>
      </c>
      <c r="B428" s="17">
        <v>45768</v>
      </c>
      <c r="C428" s="17" t="str">
        <f>TEXT(sentiment[[#This Row],[date]],"MMM-YYYY")</f>
        <v>Apr-2025</v>
      </c>
      <c r="D428" s="18" t="s">
        <v>21</v>
      </c>
      <c r="E428" s="18" t="s">
        <v>15</v>
      </c>
      <c r="F428" s="18" t="s">
        <v>32</v>
      </c>
      <c r="G428" s="18">
        <v>4</v>
      </c>
      <c r="H428" s="19" t="s">
        <v>13</v>
      </c>
    </row>
    <row r="429" spans="1:8" ht="17.399999999999999" thickBot="1" x14ac:dyDescent="0.45">
      <c r="A429" s="16">
        <v>428</v>
      </c>
      <c r="B429" s="17">
        <v>45412</v>
      </c>
      <c r="C429" s="17" t="str">
        <f>TEXT(sentiment[[#This Row],[date]],"MMM-YYYY")</f>
        <v>Apr-2024</v>
      </c>
      <c r="D429" s="18" t="s">
        <v>7</v>
      </c>
      <c r="E429" s="18" t="s">
        <v>8</v>
      </c>
      <c r="F429" s="18" t="s">
        <v>31</v>
      </c>
      <c r="G429" s="18">
        <v>4</v>
      </c>
      <c r="H429" s="19" t="s">
        <v>10</v>
      </c>
    </row>
    <row r="430" spans="1:8" ht="17.399999999999999" thickBot="1" x14ac:dyDescent="0.45">
      <c r="A430" s="16">
        <v>429</v>
      </c>
      <c r="B430" s="17">
        <v>45516</v>
      </c>
      <c r="C430" s="17" t="str">
        <f>TEXT(sentiment[[#This Row],[date]],"MMM-YYYY")</f>
        <v>Aug-2024</v>
      </c>
      <c r="D430" s="18" t="s">
        <v>17</v>
      </c>
      <c r="E430" s="18" t="s">
        <v>8</v>
      </c>
      <c r="F430" s="18" t="s">
        <v>9</v>
      </c>
      <c r="G430" s="18">
        <v>3</v>
      </c>
      <c r="H430" s="19" t="s">
        <v>10</v>
      </c>
    </row>
    <row r="431" spans="1:8" ht="17.399999999999999" thickBot="1" x14ac:dyDescent="0.45">
      <c r="A431" s="16">
        <v>430</v>
      </c>
      <c r="B431" s="17">
        <v>45717</v>
      </c>
      <c r="C431" s="17" t="str">
        <f>TEXT(sentiment[[#This Row],[date]],"MMM-YYYY")</f>
        <v>Mar-2025</v>
      </c>
      <c r="D431" s="18" t="s">
        <v>7</v>
      </c>
      <c r="E431" s="18" t="s">
        <v>11</v>
      </c>
      <c r="F431" s="18" t="s">
        <v>27</v>
      </c>
      <c r="G431" s="18">
        <v>2</v>
      </c>
      <c r="H431" s="19" t="s">
        <v>20</v>
      </c>
    </row>
    <row r="432" spans="1:8" ht="17.399999999999999" thickBot="1" x14ac:dyDescent="0.45">
      <c r="A432" s="16">
        <v>431</v>
      </c>
      <c r="B432" s="17">
        <v>45545</v>
      </c>
      <c r="C432" s="17" t="str">
        <f>TEXT(sentiment[[#This Row],[date]],"MMM-YYYY")</f>
        <v>Sep-2024</v>
      </c>
      <c r="D432" s="18" t="s">
        <v>7</v>
      </c>
      <c r="E432" s="18" t="s">
        <v>11</v>
      </c>
      <c r="F432" s="18" t="s">
        <v>33</v>
      </c>
      <c r="G432" s="18">
        <v>3</v>
      </c>
      <c r="H432" s="19" t="s">
        <v>10</v>
      </c>
    </row>
    <row r="433" spans="1:8" ht="17.399999999999999" thickBot="1" x14ac:dyDescent="0.45">
      <c r="A433" s="16">
        <v>432</v>
      </c>
      <c r="B433" s="17">
        <v>45832</v>
      </c>
      <c r="C433" s="17" t="str">
        <f>TEXT(sentiment[[#This Row],[date]],"MMM-YYYY")</f>
        <v>Jun-2025</v>
      </c>
      <c r="D433" s="18" t="s">
        <v>7</v>
      </c>
      <c r="E433" s="18" t="s">
        <v>8</v>
      </c>
      <c r="F433" s="18" t="s">
        <v>33</v>
      </c>
      <c r="G433" s="18">
        <v>4</v>
      </c>
      <c r="H433" s="19" t="s">
        <v>10</v>
      </c>
    </row>
    <row r="434" spans="1:8" ht="17.399999999999999" thickBot="1" x14ac:dyDescent="0.45">
      <c r="A434" s="16">
        <v>433</v>
      </c>
      <c r="B434" s="17">
        <v>45355</v>
      </c>
      <c r="C434" s="17" t="str">
        <f>TEXT(sentiment[[#This Row],[date]],"MMM-YYYY")</f>
        <v>Mar-2024</v>
      </c>
      <c r="D434" s="18" t="s">
        <v>26</v>
      </c>
      <c r="E434" s="18" t="s">
        <v>11</v>
      </c>
      <c r="F434" s="18" t="s">
        <v>30</v>
      </c>
      <c r="G434" s="18">
        <v>3</v>
      </c>
      <c r="H434" s="19" t="s">
        <v>10</v>
      </c>
    </row>
    <row r="435" spans="1:8" ht="17.399999999999999" thickBot="1" x14ac:dyDescent="0.45">
      <c r="A435" s="16">
        <v>434</v>
      </c>
      <c r="B435" s="17">
        <v>45460</v>
      </c>
      <c r="C435" s="17" t="str">
        <f>TEXT(sentiment[[#This Row],[date]],"MMM-YYYY")</f>
        <v>Jun-2024</v>
      </c>
      <c r="D435" s="18" t="s">
        <v>21</v>
      </c>
      <c r="E435" s="18" t="s">
        <v>11</v>
      </c>
      <c r="F435" s="18" t="s">
        <v>32</v>
      </c>
      <c r="G435" s="18">
        <v>4</v>
      </c>
      <c r="H435" s="19" t="s">
        <v>13</v>
      </c>
    </row>
    <row r="436" spans="1:8" ht="17.399999999999999" thickBot="1" x14ac:dyDescent="0.45">
      <c r="A436" s="16">
        <v>435</v>
      </c>
      <c r="B436" s="17">
        <v>45889</v>
      </c>
      <c r="C436" s="17" t="str">
        <f>TEXT(sentiment[[#This Row],[date]],"MMM-YYYY")</f>
        <v>Aug-2025</v>
      </c>
      <c r="D436" s="18" t="s">
        <v>22</v>
      </c>
      <c r="E436" s="18" t="s">
        <v>15</v>
      </c>
      <c r="F436" s="18" t="s">
        <v>12</v>
      </c>
      <c r="G436" s="18">
        <v>4</v>
      </c>
      <c r="H436" s="19" t="s">
        <v>13</v>
      </c>
    </row>
    <row r="437" spans="1:8" ht="17.399999999999999" thickBot="1" x14ac:dyDescent="0.45">
      <c r="A437" s="16">
        <v>436</v>
      </c>
      <c r="B437" s="17">
        <v>45756</v>
      </c>
      <c r="C437" s="17" t="str">
        <f>TEXT(sentiment[[#This Row],[date]],"MMM-YYYY")</f>
        <v>Apr-2025</v>
      </c>
      <c r="D437" s="18" t="s">
        <v>17</v>
      </c>
      <c r="E437" s="18" t="s">
        <v>11</v>
      </c>
      <c r="F437" s="18" t="s">
        <v>27</v>
      </c>
      <c r="G437" s="18">
        <v>1</v>
      </c>
      <c r="H437" s="19" t="s">
        <v>20</v>
      </c>
    </row>
    <row r="438" spans="1:8" ht="17.399999999999999" thickBot="1" x14ac:dyDescent="0.45">
      <c r="A438" s="16">
        <v>437</v>
      </c>
      <c r="B438" s="17">
        <v>45864</v>
      </c>
      <c r="C438" s="17" t="str">
        <f>TEXT(sentiment[[#This Row],[date]],"MMM-YYYY")</f>
        <v>Jul-2025</v>
      </c>
      <c r="D438" s="18" t="s">
        <v>22</v>
      </c>
      <c r="E438" s="18" t="s">
        <v>11</v>
      </c>
      <c r="F438" s="18" t="s">
        <v>23</v>
      </c>
      <c r="G438" s="18">
        <v>1</v>
      </c>
      <c r="H438" s="19" t="s">
        <v>20</v>
      </c>
    </row>
    <row r="439" spans="1:8" ht="17.399999999999999" thickBot="1" x14ac:dyDescent="0.45">
      <c r="A439" s="16">
        <v>438</v>
      </c>
      <c r="B439" s="17">
        <v>45697</v>
      </c>
      <c r="C439" s="17" t="str">
        <f>TEXT(sentiment[[#This Row],[date]],"MMM-YYYY")</f>
        <v>Feb-2025</v>
      </c>
      <c r="D439" s="18" t="s">
        <v>21</v>
      </c>
      <c r="E439" s="18" t="s">
        <v>15</v>
      </c>
      <c r="F439" s="18" t="s">
        <v>9</v>
      </c>
      <c r="G439" s="18">
        <v>3</v>
      </c>
      <c r="H439" s="19" t="s">
        <v>10</v>
      </c>
    </row>
    <row r="440" spans="1:8" ht="17.399999999999999" thickBot="1" x14ac:dyDescent="0.45">
      <c r="A440" s="16">
        <v>439</v>
      </c>
      <c r="B440" s="17">
        <v>45338</v>
      </c>
      <c r="C440" s="17" t="str">
        <f>TEXT(sentiment[[#This Row],[date]],"MMM-YYYY")</f>
        <v>Feb-2024</v>
      </c>
      <c r="D440" s="18" t="s">
        <v>22</v>
      </c>
      <c r="E440" s="18" t="s">
        <v>8</v>
      </c>
      <c r="F440" s="18" t="s">
        <v>33</v>
      </c>
      <c r="G440" s="18">
        <v>3</v>
      </c>
      <c r="H440" s="19" t="s">
        <v>10</v>
      </c>
    </row>
    <row r="441" spans="1:8" ht="17.399999999999999" thickBot="1" x14ac:dyDescent="0.45">
      <c r="A441" s="16">
        <v>440</v>
      </c>
      <c r="B441" s="17">
        <v>45362</v>
      </c>
      <c r="C441" s="17" t="str">
        <f>TEXT(sentiment[[#This Row],[date]],"MMM-YYYY")</f>
        <v>Mar-2024</v>
      </c>
      <c r="D441" s="18" t="s">
        <v>22</v>
      </c>
      <c r="E441" s="18" t="s">
        <v>15</v>
      </c>
      <c r="F441" s="18" t="s">
        <v>31</v>
      </c>
      <c r="G441" s="18">
        <v>3</v>
      </c>
      <c r="H441" s="19" t="s">
        <v>10</v>
      </c>
    </row>
    <row r="442" spans="1:8" ht="17.399999999999999" thickBot="1" x14ac:dyDescent="0.45">
      <c r="A442" s="16">
        <v>441</v>
      </c>
      <c r="B442" s="17">
        <v>45430</v>
      </c>
      <c r="C442" s="17" t="str">
        <f>TEXT(sentiment[[#This Row],[date]],"MMM-YYYY")</f>
        <v>May-2024</v>
      </c>
      <c r="D442" s="18" t="s">
        <v>26</v>
      </c>
      <c r="E442" s="18" t="s">
        <v>11</v>
      </c>
      <c r="F442" s="18" t="s">
        <v>27</v>
      </c>
      <c r="G442" s="18">
        <v>1</v>
      </c>
      <c r="H442" s="19" t="s">
        <v>20</v>
      </c>
    </row>
    <row r="443" spans="1:8" ht="17.399999999999999" thickBot="1" x14ac:dyDescent="0.45">
      <c r="A443" s="16">
        <v>442</v>
      </c>
      <c r="B443" s="17">
        <v>45751</v>
      </c>
      <c r="C443" s="17" t="str">
        <f>TEXT(sentiment[[#This Row],[date]],"MMM-YYYY")</f>
        <v>Apr-2025</v>
      </c>
      <c r="D443" s="18" t="s">
        <v>26</v>
      </c>
      <c r="E443" s="18" t="s">
        <v>8</v>
      </c>
      <c r="F443" s="18" t="s">
        <v>27</v>
      </c>
      <c r="G443" s="18">
        <v>2</v>
      </c>
      <c r="H443" s="19" t="s">
        <v>20</v>
      </c>
    </row>
    <row r="444" spans="1:8" ht="17.399999999999999" thickBot="1" x14ac:dyDescent="0.45">
      <c r="A444" s="16">
        <v>443</v>
      </c>
      <c r="B444" s="17">
        <v>45961</v>
      </c>
      <c r="C444" s="17" t="str">
        <f>TEXT(sentiment[[#This Row],[date]],"MMM-YYYY")</f>
        <v>Oct-2025</v>
      </c>
      <c r="D444" s="18" t="s">
        <v>26</v>
      </c>
      <c r="E444" s="18" t="s">
        <v>8</v>
      </c>
      <c r="F444" s="18" t="s">
        <v>29</v>
      </c>
      <c r="G444" s="18">
        <v>4</v>
      </c>
      <c r="H444" s="19" t="s">
        <v>13</v>
      </c>
    </row>
    <row r="445" spans="1:8" ht="17.399999999999999" thickBot="1" x14ac:dyDescent="0.45">
      <c r="A445" s="16">
        <v>444</v>
      </c>
      <c r="B445" s="17">
        <v>45833</v>
      </c>
      <c r="C445" s="17" t="str">
        <f>TEXT(sentiment[[#This Row],[date]],"MMM-YYYY")</f>
        <v>Jun-2025</v>
      </c>
      <c r="D445" s="18" t="s">
        <v>17</v>
      </c>
      <c r="E445" s="18" t="s">
        <v>11</v>
      </c>
      <c r="F445" s="18" t="s">
        <v>16</v>
      </c>
      <c r="G445" s="18">
        <v>5</v>
      </c>
      <c r="H445" s="19" t="s">
        <v>13</v>
      </c>
    </row>
    <row r="446" spans="1:8" ht="17.399999999999999" thickBot="1" x14ac:dyDescent="0.45">
      <c r="A446" s="16">
        <v>445</v>
      </c>
      <c r="B446" s="17">
        <v>45597</v>
      </c>
      <c r="C446" s="17" t="str">
        <f>TEXT(sentiment[[#This Row],[date]],"MMM-YYYY")</f>
        <v>Nov-2024</v>
      </c>
      <c r="D446" s="18" t="s">
        <v>22</v>
      </c>
      <c r="E446" s="18" t="s">
        <v>11</v>
      </c>
      <c r="F446" s="18" t="s">
        <v>12</v>
      </c>
      <c r="G446" s="18">
        <v>4</v>
      </c>
      <c r="H446" s="19" t="s">
        <v>13</v>
      </c>
    </row>
    <row r="447" spans="1:8" ht="17.399999999999999" thickBot="1" x14ac:dyDescent="0.45">
      <c r="A447" s="16">
        <v>446</v>
      </c>
      <c r="B447" s="17">
        <v>45527</v>
      </c>
      <c r="C447" s="17" t="str">
        <f>TEXT(sentiment[[#This Row],[date]],"MMM-YYYY")</f>
        <v>Aug-2024</v>
      </c>
      <c r="D447" s="18" t="s">
        <v>17</v>
      </c>
      <c r="E447" s="18" t="s">
        <v>8</v>
      </c>
      <c r="F447" s="18" t="s">
        <v>23</v>
      </c>
      <c r="G447" s="18">
        <v>2</v>
      </c>
      <c r="H447" s="19" t="s">
        <v>20</v>
      </c>
    </row>
    <row r="448" spans="1:8" ht="17.399999999999999" thickBot="1" x14ac:dyDescent="0.45">
      <c r="A448" s="16">
        <v>447</v>
      </c>
      <c r="B448" s="17">
        <v>45485</v>
      </c>
      <c r="C448" s="17" t="str">
        <f>TEXT(sentiment[[#This Row],[date]],"MMM-YYYY")</f>
        <v>Jul-2024</v>
      </c>
      <c r="D448" s="18" t="s">
        <v>7</v>
      </c>
      <c r="E448" s="18" t="s">
        <v>15</v>
      </c>
      <c r="F448" s="18" t="s">
        <v>29</v>
      </c>
      <c r="G448" s="18">
        <v>5</v>
      </c>
      <c r="H448" s="19" t="s">
        <v>13</v>
      </c>
    </row>
    <row r="449" spans="1:8" ht="17.399999999999999" thickBot="1" x14ac:dyDescent="0.45">
      <c r="A449" s="16">
        <v>448</v>
      </c>
      <c r="B449" s="17">
        <v>45921</v>
      </c>
      <c r="C449" s="17" t="str">
        <f>TEXT(sentiment[[#This Row],[date]],"MMM-YYYY")</f>
        <v>Sep-2025</v>
      </c>
      <c r="D449" s="18" t="s">
        <v>26</v>
      </c>
      <c r="E449" s="18" t="s">
        <v>15</v>
      </c>
      <c r="F449" s="18" t="s">
        <v>9</v>
      </c>
      <c r="G449" s="18">
        <v>4</v>
      </c>
      <c r="H449" s="19" t="s">
        <v>10</v>
      </c>
    </row>
    <row r="450" spans="1:8" ht="17.399999999999999" thickBot="1" x14ac:dyDescent="0.45">
      <c r="A450" s="16">
        <v>449</v>
      </c>
      <c r="B450" s="17">
        <v>45395</v>
      </c>
      <c r="C450" s="17" t="str">
        <f>TEXT(sentiment[[#This Row],[date]],"MMM-YYYY")</f>
        <v>Apr-2024</v>
      </c>
      <c r="D450" s="18" t="s">
        <v>18</v>
      </c>
      <c r="E450" s="18" t="s">
        <v>15</v>
      </c>
      <c r="F450" s="18" t="s">
        <v>32</v>
      </c>
      <c r="G450" s="18">
        <v>4</v>
      </c>
      <c r="H450" s="19" t="s">
        <v>13</v>
      </c>
    </row>
    <row r="451" spans="1:8" ht="17.399999999999999" thickBot="1" x14ac:dyDescent="0.45">
      <c r="A451" s="16">
        <v>450</v>
      </c>
      <c r="B451" s="17">
        <v>45542</v>
      </c>
      <c r="C451" s="17" t="str">
        <f>TEXT(sentiment[[#This Row],[date]],"MMM-YYYY")</f>
        <v>Sep-2024</v>
      </c>
      <c r="D451" s="18" t="s">
        <v>7</v>
      </c>
      <c r="E451" s="18" t="s">
        <v>15</v>
      </c>
      <c r="F451" s="18" t="s">
        <v>34</v>
      </c>
      <c r="G451" s="18">
        <v>3</v>
      </c>
      <c r="H451" s="19" t="s">
        <v>10</v>
      </c>
    </row>
    <row r="452" spans="1:8" ht="17.399999999999999" thickBot="1" x14ac:dyDescent="0.45">
      <c r="A452" s="16">
        <v>451</v>
      </c>
      <c r="B452" s="17">
        <v>45844</v>
      </c>
      <c r="C452" s="17" t="str">
        <f>TEXT(sentiment[[#This Row],[date]],"MMM-YYYY")</f>
        <v>Jul-2025</v>
      </c>
      <c r="D452" s="18" t="s">
        <v>17</v>
      </c>
      <c r="E452" s="18" t="s">
        <v>15</v>
      </c>
      <c r="F452" s="18" t="s">
        <v>25</v>
      </c>
      <c r="G452" s="18">
        <v>1</v>
      </c>
      <c r="H452" s="19" t="s">
        <v>20</v>
      </c>
    </row>
    <row r="453" spans="1:8" ht="17.399999999999999" thickBot="1" x14ac:dyDescent="0.45">
      <c r="A453" s="16">
        <v>452</v>
      </c>
      <c r="B453" s="17">
        <v>45531</v>
      </c>
      <c r="C453" s="17" t="str">
        <f>TEXT(sentiment[[#This Row],[date]],"MMM-YYYY")</f>
        <v>Aug-2024</v>
      </c>
      <c r="D453" s="18" t="s">
        <v>26</v>
      </c>
      <c r="E453" s="18" t="s">
        <v>11</v>
      </c>
      <c r="F453" s="18" t="s">
        <v>30</v>
      </c>
      <c r="G453" s="18">
        <v>4</v>
      </c>
      <c r="H453" s="19" t="s">
        <v>10</v>
      </c>
    </row>
    <row r="454" spans="1:8" ht="17.399999999999999" thickBot="1" x14ac:dyDescent="0.45">
      <c r="A454" s="16">
        <v>453</v>
      </c>
      <c r="B454" s="17">
        <v>45534</v>
      </c>
      <c r="C454" s="17" t="str">
        <f>TEXT(sentiment[[#This Row],[date]],"MMM-YYYY")</f>
        <v>Aug-2024</v>
      </c>
      <c r="D454" s="18" t="s">
        <v>21</v>
      </c>
      <c r="E454" s="18" t="s">
        <v>15</v>
      </c>
      <c r="F454" s="18" t="s">
        <v>24</v>
      </c>
      <c r="G454" s="18">
        <v>2</v>
      </c>
      <c r="H454" s="19" t="s">
        <v>20</v>
      </c>
    </row>
    <row r="455" spans="1:8" ht="17.399999999999999" thickBot="1" x14ac:dyDescent="0.45">
      <c r="A455" s="16">
        <v>454</v>
      </c>
      <c r="B455" s="17">
        <v>45599</v>
      </c>
      <c r="C455" s="17" t="str">
        <f>TEXT(sentiment[[#This Row],[date]],"MMM-YYYY")</f>
        <v>Nov-2024</v>
      </c>
      <c r="D455" s="18" t="s">
        <v>21</v>
      </c>
      <c r="E455" s="18" t="s">
        <v>15</v>
      </c>
      <c r="F455" s="18" t="s">
        <v>12</v>
      </c>
      <c r="G455" s="18">
        <v>5</v>
      </c>
      <c r="H455" s="19" t="s">
        <v>13</v>
      </c>
    </row>
    <row r="456" spans="1:8" ht="17.399999999999999" thickBot="1" x14ac:dyDescent="0.45">
      <c r="A456" s="16">
        <v>455</v>
      </c>
      <c r="B456" s="17">
        <v>45933</v>
      </c>
      <c r="C456" s="17" t="str">
        <f>TEXT(sentiment[[#This Row],[date]],"MMM-YYYY")</f>
        <v>Oct-2025</v>
      </c>
      <c r="D456" s="18" t="s">
        <v>7</v>
      </c>
      <c r="E456" s="18" t="s">
        <v>8</v>
      </c>
      <c r="F456" s="18" t="s">
        <v>30</v>
      </c>
      <c r="G456" s="18">
        <v>3</v>
      </c>
      <c r="H456" s="19" t="s">
        <v>10</v>
      </c>
    </row>
    <row r="457" spans="1:8" ht="17.399999999999999" thickBot="1" x14ac:dyDescent="0.45">
      <c r="A457" s="16">
        <v>456</v>
      </c>
      <c r="B457" s="17">
        <v>45644</v>
      </c>
      <c r="C457" s="17" t="str">
        <f>TEXT(sentiment[[#This Row],[date]],"MMM-YYYY")</f>
        <v>Dec-2024</v>
      </c>
      <c r="D457" s="18" t="s">
        <v>7</v>
      </c>
      <c r="E457" s="18" t="s">
        <v>11</v>
      </c>
      <c r="F457" s="18" t="s">
        <v>27</v>
      </c>
      <c r="G457" s="18">
        <v>1</v>
      </c>
      <c r="H457" s="19" t="s">
        <v>20</v>
      </c>
    </row>
    <row r="458" spans="1:8" ht="17.399999999999999" thickBot="1" x14ac:dyDescent="0.45">
      <c r="A458" s="16">
        <v>457</v>
      </c>
      <c r="B458" s="17">
        <v>45718</v>
      </c>
      <c r="C458" s="17" t="str">
        <f>TEXT(sentiment[[#This Row],[date]],"MMM-YYYY")</f>
        <v>Mar-2025</v>
      </c>
      <c r="D458" s="18" t="s">
        <v>22</v>
      </c>
      <c r="E458" s="18" t="s">
        <v>15</v>
      </c>
      <c r="F458" s="18" t="s">
        <v>31</v>
      </c>
      <c r="G458" s="18">
        <v>4</v>
      </c>
      <c r="H458" s="19" t="s">
        <v>10</v>
      </c>
    </row>
    <row r="459" spans="1:8" ht="17.399999999999999" thickBot="1" x14ac:dyDescent="0.45">
      <c r="A459" s="16">
        <v>458</v>
      </c>
      <c r="B459" s="17">
        <v>45842</v>
      </c>
      <c r="C459" s="17" t="str">
        <f>TEXT(sentiment[[#This Row],[date]],"MMM-YYYY")</f>
        <v>Jul-2025</v>
      </c>
      <c r="D459" s="18" t="s">
        <v>22</v>
      </c>
      <c r="E459" s="18" t="s">
        <v>15</v>
      </c>
      <c r="F459" s="18" t="s">
        <v>25</v>
      </c>
      <c r="G459" s="18">
        <v>1</v>
      </c>
      <c r="H459" s="19" t="s">
        <v>20</v>
      </c>
    </row>
    <row r="460" spans="1:8" ht="17.399999999999999" thickBot="1" x14ac:dyDescent="0.45">
      <c r="A460" s="16">
        <v>459</v>
      </c>
      <c r="B460" s="17">
        <v>45766</v>
      </c>
      <c r="C460" s="17" t="str">
        <f>TEXT(sentiment[[#This Row],[date]],"MMM-YYYY")</f>
        <v>Apr-2025</v>
      </c>
      <c r="D460" s="18" t="s">
        <v>14</v>
      </c>
      <c r="E460" s="18" t="s">
        <v>11</v>
      </c>
      <c r="F460" s="18" t="s">
        <v>27</v>
      </c>
      <c r="G460" s="18">
        <v>1</v>
      </c>
      <c r="H460" s="19" t="s">
        <v>20</v>
      </c>
    </row>
    <row r="461" spans="1:8" ht="17.399999999999999" thickBot="1" x14ac:dyDescent="0.45">
      <c r="A461" s="16">
        <v>460</v>
      </c>
      <c r="B461" s="17">
        <v>45689</v>
      </c>
      <c r="C461" s="17" t="str">
        <f>TEXT(sentiment[[#This Row],[date]],"MMM-YYYY")</f>
        <v>Feb-2025</v>
      </c>
      <c r="D461" s="18" t="s">
        <v>17</v>
      </c>
      <c r="E461" s="18" t="s">
        <v>8</v>
      </c>
      <c r="F461" s="18" t="s">
        <v>25</v>
      </c>
      <c r="G461" s="18">
        <v>1</v>
      </c>
      <c r="H461" s="19" t="s">
        <v>20</v>
      </c>
    </row>
    <row r="462" spans="1:8" ht="17.399999999999999" thickBot="1" x14ac:dyDescent="0.45">
      <c r="A462" s="16">
        <v>461</v>
      </c>
      <c r="B462" s="17">
        <v>45752</v>
      </c>
      <c r="C462" s="17" t="str">
        <f>TEXT(sentiment[[#This Row],[date]],"MMM-YYYY")</f>
        <v>Apr-2025</v>
      </c>
      <c r="D462" s="18" t="s">
        <v>26</v>
      </c>
      <c r="E462" s="18" t="s">
        <v>8</v>
      </c>
      <c r="F462" s="18" t="s">
        <v>19</v>
      </c>
      <c r="G462" s="18">
        <v>1</v>
      </c>
      <c r="H462" s="19" t="s">
        <v>20</v>
      </c>
    </row>
    <row r="463" spans="1:8" ht="17.399999999999999" thickBot="1" x14ac:dyDescent="0.45">
      <c r="A463" s="16">
        <v>462</v>
      </c>
      <c r="B463" s="17">
        <v>45344</v>
      </c>
      <c r="C463" s="17" t="str">
        <f>TEXT(sentiment[[#This Row],[date]],"MMM-YYYY")</f>
        <v>Feb-2024</v>
      </c>
      <c r="D463" s="18" t="s">
        <v>21</v>
      </c>
      <c r="E463" s="18" t="s">
        <v>8</v>
      </c>
      <c r="F463" s="18" t="s">
        <v>30</v>
      </c>
      <c r="G463" s="18">
        <v>3</v>
      </c>
      <c r="H463" s="19" t="s">
        <v>10</v>
      </c>
    </row>
    <row r="464" spans="1:8" ht="17.399999999999999" thickBot="1" x14ac:dyDescent="0.45">
      <c r="A464" s="16">
        <v>463</v>
      </c>
      <c r="B464" s="17">
        <v>45366</v>
      </c>
      <c r="C464" s="17" t="str">
        <f>TEXT(sentiment[[#This Row],[date]],"MMM-YYYY")</f>
        <v>Mar-2024</v>
      </c>
      <c r="D464" s="18" t="s">
        <v>17</v>
      </c>
      <c r="E464" s="18" t="s">
        <v>11</v>
      </c>
      <c r="F464" s="18" t="s">
        <v>30</v>
      </c>
      <c r="G464" s="18">
        <v>3</v>
      </c>
      <c r="H464" s="19" t="s">
        <v>10</v>
      </c>
    </row>
    <row r="465" spans="1:8" ht="17.399999999999999" thickBot="1" x14ac:dyDescent="0.45">
      <c r="A465" s="16">
        <v>464</v>
      </c>
      <c r="B465" s="17">
        <v>45505</v>
      </c>
      <c r="C465" s="17" t="str">
        <f>TEXT(sentiment[[#This Row],[date]],"MMM-YYYY")</f>
        <v>Aug-2024</v>
      </c>
      <c r="D465" s="18" t="s">
        <v>26</v>
      </c>
      <c r="E465" s="18" t="s">
        <v>8</v>
      </c>
      <c r="F465" s="18" t="s">
        <v>28</v>
      </c>
      <c r="G465" s="18">
        <v>5</v>
      </c>
      <c r="H465" s="19" t="s">
        <v>13</v>
      </c>
    </row>
    <row r="466" spans="1:8" ht="17.399999999999999" thickBot="1" x14ac:dyDescent="0.45">
      <c r="A466" s="16">
        <v>465</v>
      </c>
      <c r="B466" s="17">
        <v>45486</v>
      </c>
      <c r="C466" s="17" t="str">
        <f>TEXT(sentiment[[#This Row],[date]],"MMM-YYYY")</f>
        <v>Jul-2024</v>
      </c>
      <c r="D466" s="18" t="s">
        <v>7</v>
      </c>
      <c r="E466" s="18" t="s">
        <v>15</v>
      </c>
      <c r="F466" s="18" t="s">
        <v>32</v>
      </c>
      <c r="G466" s="18">
        <v>4</v>
      </c>
      <c r="H466" s="19" t="s">
        <v>13</v>
      </c>
    </row>
    <row r="467" spans="1:8" ht="17.399999999999999" thickBot="1" x14ac:dyDescent="0.45">
      <c r="A467" s="16">
        <v>466</v>
      </c>
      <c r="B467" s="17">
        <v>45698</v>
      </c>
      <c r="C467" s="17" t="str">
        <f>TEXT(sentiment[[#This Row],[date]],"MMM-YYYY")</f>
        <v>Feb-2025</v>
      </c>
      <c r="D467" s="18" t="s">
        <v>17</v>
      </c>
      <c r="E467" s="18" t="s">
        <v>11</v>
      </c>
      <c r="F467" s="18" t="s">
        <v>28</v>
      </c>
      <c r="G467" s="18">
        <v>4</v>
      </c>
      <c r="H467" s="19" t="s">
        <v>13</v>
      </c>
    </row>
    <row r="468" spans="1:8" ht="17.399999999999999" thickBot="1" x14ac:dyDescent="0.45">
      <c r="A468" s="16">
        <v>467</v>
      </c>
      <c r="B468" s="17">
        <v>45769</v>
      </c>
      <c r="C468" s="17" t="str">
        <f>TEXT(sentiment[[#This Row],[date]],"MMM-YYYY")</f>
        <v>Apr-2025</v>
      </c>
      <c r="D468" s="18" t="s">
        <v>18</v>
      </c>
      <c r="E468" s="18" t="s">
        <v>11</v>
      </c>
      <c r="F468" s="18" t="s">
        <v>23</v>
      </c>
      <c r="G468" s="18">
        <v>2</v>
      </c>
      <c r="H468" s="19" t="s">
        <v>20</v>
      </c>
    </row>
    <row r="469" spans="1:8" ht="17.399999999999999" thickBot="1" x14ac:dyDescent="0.45">
      <c r="A469" s="16">
        <v>468</v>
      </c>
      <c r="B469" s="17">
        <v>45660</v>
      </c>
      <c r="C469" s="17" t="str">
        <f>TEXT(sentiment[[#This Row],[date]],"MMM-YYYY")</f>
        <v>Jan-2025</v>
      </c>
      <c r="D469" s="18" t="s">
        <v>18</v>
      </c>
      <c r="E469" s="18" t="s">
        <v>8</v>
      </c>
      <c r="F469" s="18" t="s">
        <v>27</v>
      </c>
      <c r="G469" s="18">
        <v>2</v>
      </c>
      <c r="H469" s="19" t="s">
        <v>20</v>
      </c>
    </row>
    <row r="470" spans="1:8" ht="17.399999999999999" thickBot="1" x14ac:dyDescent="0.45">
      <c r="A470" s="16">
        <v>469</v>
      </c>
      <c r="B470" s="17">
        <v>45619</v>
      </c>
      <c r="C470" s="17" t="str">
        <f>TEXT(sentiment[[#This Row],[date]],"MMM-YYYY")</f>
        <v>Nov-2024</v>
      </c>
      <c r="D470" s="18" t="s">
        <v>17</v>
      </c>
      <c r="E470" s="18" t="s">
        <v>8</v>
      </c>
      <c r="F470" s="18" t="s">
        <v>28</v>
      </c>
      <c r="G470" s="18">
        <v>5</v>
      </c>
      <c r="H470" s="19" t="s">
        <v>13</v>
      </c>
    </row>
    <row r="471" spans="1:8" ht="17.399999999999999" thickBot="1" x14ac:dyDescent="0.45">
      <c r="A471" s="16">
        <v>470</v>
      </c>
      <c r="B471" s="17">
        <v>45868</v>
      </c>
      <c r="C471" s="17" t="str">
        <f>TEXT(sentiment[[#This Row],[date]],"MMM-YYYY")</f>
        <v>Jul-2025</v>
      </c>
      <c r="D471" s="18" t="s">
        <v>26</v>
      </c>
      <c r="E471" s="18" t="s">
        <v>15</v>
      </c>
      <c r="F471" s="18" t="s">
        <v>25</v>
      </c>
      <c r="G471" s="18">
        <v>1</v>
      </c>
      <c r="H471" s="19" t="s">
        <v>20</v>
      </c>
    </row>
    <row r="472" spans="1:8" ht="17.399999999999999" thickBot="1" x14ac:dyDescent="0.45">
      <c r="A472" s="16">
        <v>471</v>
      </c>
      <c r="B472" s="17">
        <v>45858</v>
      </c>
      <c r="C472" s="17" t="str">
        <f>TEXT(sentiment[[#This Row],[date]],"MMM-YYYY")</f>
        <v>Jul-2025</v>
      </c>
      <c r="D472" s="18" t="s">
        <v>18</v>
      </c>
      <c r="E472" s="18" t="s">
        <v>11</v>
      </c>
      <c r="F472" s="18" t="s">
        <v>32</v>
      </c>
      <c r="G472" s="18">
        <v>5</v>
      </c>
      <c r="H472" s="19" t="s">
        <v>13</v>
      </c>
    </row>
    <row r="473" spans="1:8" ht="17.399999999999999" thickBot="1" x14ac:dyDescent="0.45">
      <c r="A473" s="16">
        <v>472</v>
      </c>
      <c r="B473" s="17">
        <v>45492</v>
      </c>
      <c r="C473" s="17" t="str">
        <f>TEXT(sentiment[[#This Row],[date]],"MMM-YYYY")</f>
        <v>Jul-2024</v>
      </c>
      <c r="D473" s="18" t="s">
        <v>21</v>
      </c>
      <c r="E473" s="18" t="s">
        <v>15</v>
      </c>
      <c r="F473" s="18" t="s">
        <v>27</v>
      </c>
      <c r="G473" s="18">
        <v>1</v>
      </c>
      <c r="H473" s="19" t="s">
        <v>20</v>
      </c>
    </row>
    <row r="474" spans="1:8" ht="17.399999999999999" thickBot="1" x14ac:dyDescent="0.45">
      <c r="A474" s="16">
        <v>473</v>
      </c>
      <c r="B474" s="17">
        <v>45803</v>
      </c>
      <c r="C474" s="17" t="str">
        <f>TEXT(sentiment[[#This Row],[date]],"MMM-YYYY")</f>
        <v>May-2025</v>
      </c>
      <c r="D474" s="18" t="s">
        <v>18</v>
      </c>
      <c r="E474" s="18" t="s">
        <v>11</v>
      </c>
      <c r="F474" s="18" t="s">
        <v>31</v>
      </c>
      <c r="G474" s="18">
        <v>3</v>
      </c>
      <c r="H474" s="19" t="s">
        <v>10</v>
      </c>
    </row>
    <row r="475" spans="1:8" ht="17.399999999999999" thickBot="1" x14ac:dyDescent="0.45">
      <c r="A475" s="16">
        <v>474</v>
      </c>
      <c r="B475" s="17">
        <v>45949</v>
      </c>
      <c r="C475" s="17" t="str">
        <f>TEXT(sentiment[[#This Row],[date]],"MMM-YYYY")</f>
        <v>Oct-2025</v>
      </c>
      <c r="D475" s="18" t="s">
        <v>7</v>
      </c>
      <c r="E475" s="18" t="s">
        <v>8</v>
      </c>
      <c r="F475" s="18" t="s">
        <v>27</v>
      </c>
      <c r="G475" s="18">
        <v>2</v>
      </c>
      <c r="H475" s="19" t="s">
        <v>20</v>
      </c>
    </row>
    <row r="476" spans="1:8" ht="17.399999999999999" thickBot="1" x14ac:dyDescent="0.45">
      <c r="A476" s="16">
        <v>475</v>
      </c>
      <c r="B476" s="17">
        <v>45465</v>
      </c>
      <c r="C476" s="17" t="str">
        <f>TEXT(sentiment[[#This Row],[date]],"MMM-YYYY")</f>
        <v>Jun-2024</v>
      </c>
      <c r="D476" s="18" t="s">
        <v>17</v>
      </c>
      <c r="E476" s="18" t="s">
        <v>11</v>
      </c>
      <c r="F476" s="18" t="s">
        <v>12</v>
      </c>
      <c r="G476" s="18">
        <v>5</v>
      </c>
      <c r="H476" s="19" t="s">
        <v>13</v>
      </c>
    </row>
    <row r="477" spans="1:8" ht="17.399999999999999" thickBot="1" x14ac:dyDescent="0.45">
      <c r="A477" s="16">
        <v>476</v>
      </c>
      <c r="B477" s="17">
        <v>45847</v>
      </c>
      <c r="C477" s="17" t="str">
        <f>TEXT(sentiment[[#This Row],[date]],"MMM-YYYY")</f>
        <v>Jul-2025</v>
      </c>
      <c r="D477" s="18" t="s">
        <v>7</v>
      </c>
      <c r="E477" s="18" t="s">
        <v>15</v>
      </c>
      <c r="F477" s="18" t="s">
        <v>24</v>
      </c>
      <c r="G477" s="18">
        <v>1</v>
      </c>
      <c r="H477" s="19" t="s">
        <v>20</v>
      </c>
    </row>
    <row r="478" spans="1:8" ht="17.399999999999999" thickBot="1" x14ac:dyDescent="0.45">
      <c r="A478" s="16">
        <v>477</v>
      </c>
      <c r="B478" s="17">
        <v>45976</v>
      </c>
      <c r="C478" s="17" t="str">
        <f>TEXT(sentiment[[#This Row],[date]],"MMM-YYYY")</f>
        <v>Nov-2025</v>
      </c>
      <c r="D478" s="18" t="s">
        <v>14</v>
      </c>
      <c r="E478" s="18" t="s">
        <v>15</v>
      </c>
      <c r="F478" s="18" t="s">
        <v>32</v>
      </c>
      <c r="G478" s="18">
        <v>4</v>
      </c>
      <c r="H478" s="19" t="s">
        <v>13</v>
      </c>
    </row>
    <row r="479" spans="1:8" ht="17.399999999999999" thickBot="1" x14ac:dyDescent="0.45">
      <c r="A479" s="16">
        <v>478</v>
      </c>
      <c r="B479" s="17">
        <v>45361</v>
      </c>
      <c r="C479" s="17" t="str">
        <f>TEXT(sentiment[[#This Row],[date]],"MMM-YYYY")</f>
        <v>Mar-2024</v>
      </c>
      <c r="D479" s="18" t="s">
        <v>7</v>
      </c>
      <c r="E479" s="18" t="s">
        <v>15</v>
      </c>
      <c r="F479" s="18" t="s">
        <v>29</v>
      </c>
      <c r="G479" s="18">
        <v>4</v>
      </c>
      <c r="H479" s="19" t="s">
        <v>13</v>
      </c>
    </row>
    <row r="480" spans="1:8" ht="17.399999999999999" thickBot="1" x14ac:dyDescent="0.45">
      <c r="A480" s="16">
        <v>479</v>
      </c>
      <c r="B480" s="17">
        <v>45674</v>
      </c>
      <c r="C480" s="17" t="str">
        <f>TEXT(sentiment[[#This Row],[date]],"MMM-YYYY")</f>
        <v>Jan-2025</v>
      </c>
      <c r="D480" s="18" t="s">
        <v>14</v>
      </c>
      <c r="E480" s="18" t="s">
        <v>11</v>
      </c>
      <c r="F480" s="18" t="s">
        <v>12</v>
      </c>
      <c r="G480" s="18">
        <v>5</v>
      </c>
      <c r="H480" s="19" t="s">
        <v>13</v>
      </c>
    </row>
    <row r="481" spans="1:8" ht="17.399999999999999" thickBot="1" x14ac:dyDescent="0.45">
      <c r="A481" s="16">
        <v>480</v>
      </c>
      <c r="B481" s="17">
        <v>45308</v>
      </c>
      <c r="C481" s="17" t="str">
        <f>TEXT(sentiment[[#This Row],[date]],"MMM-YYYY")</f>
        <v>Jan-2024</v>
      </c>
      <c r="D481" s="18" t="s">
        <v>14</v>
      </c>
      <c r="E481" s="18" t="s">
        <v>11</v>
      </c>
      <c r="F481" s="18" t="s">
        <v>24</v>
      </c>
      <c r="G481" s="18">
        <v>2</v>
      </c>
      <c r="H481" s="19" t="s">
        <v>20</v>
      </c>
    </row>
    <row r="482" spans="1:8" ht="17.399999999999999" thickBot="1" x14ac:dyDescent="0.45">
      <c r="A482" s="16">
        <v>481</v>
      </c>
      <c r="B482" s="17">
        <v>45309</v>
      </c>
      <c r="C482" s="17" t="str">
        <f>TEXT(sentiment[[#This Row],[date]],"MMM-YYYY")</f>
        <v>Jan-2024</v>
      </c>
      <c r="D482" s="18" t="s">
        <v>18</v>
      </c>
      <c r="E482" s="18" t="s">
        <v>11</v>
      </c>
      <c r="F482" s="18" t="s">
        <v>23</v>
      </c>
      <c r="G482" s="18">
        <v>1</v>
      </c>
      <c r="H482" s="19" t="s">
        <v>20</v>
      </c>
    </row>
    <row r="483" spans="1:8" ht="17.399999999999999" thickBot="1" x14ac:dyDescent="0.45">
      <c r="A483" s="16">
        <v>482</v>
      </c>
      <c r="B483" s="17">
        <v>45309</v>
      </c>
      <c r="C483" s="17" t="str">
        <f>TEXT(sentiment[[#This Row],[date]],"MMM-YYYY")</f>
        <v>Jan-2024</v>
      </c>
      <c r="D483" s="18" t="s">
        <v>18</v>
      </c>
      <c r="E483" s="18" t="s">
        <v>11</v>
      </c>
      <c r="F483" s="18" t="s">
        <v>34</v>
      </c>
      <c r="G483" s="18">
        <v>4</v>
      </c>
      <c r="H483" s="19" t="s">
        <v>10</v>
      </c>
    </row>
    <row r="484" spans="1:8" ht="17.399999999999999" thickBot="1" x14ac:dyDescent="0.45">
      <c r="A484" s="16">
        <v>483</v>
      </c>
      <c r="B484" s="17">
        <v>45390</v>
      </c>
      <c r="C484" s="17" t="str">
        <f>TEXT(sentiment[[#This Row],[date]],"MMM-YYYY")</f>
        <v>Apr-2024</v>
      </c>
      <c r="D484" s="18" t="s">
        <v>18</v>
      </c>
      <c r="E484" s="18" t="s">
        <v>15</v>
      </c>
      <c r="F484" s="18" t="s">
        <v>16</v>
      </c>
      <c r="G484" s="18">
        <v>4</v>
      </c>
      <c r="H484" s="19" t="s">
        <v>13</v>
      </c>
    </row>
    <row r="485" spans="1:8" ht="17.399999999999999" thickBot="1" x14ac:dyDescent="0.45">
      <c r="A485" s="16">
        <v>484</v>
      </c>
      <c r="B485" s="17">
        <v>45654</v>
      </c>
      <c r="C485" s="17" t="str">
        <f>TEXT(sentiment[[#This Row],[date]],"MMM-YYYY")</f>
        <v>Dec-2024</v>
      </c>
      <c r="D485" s="18" t="s">
        <v>21</v>
      </c>
      <c r="E485" s="18" t="s">
        <v>8</v>
      </c>
      <c r="F485" s="18" t="s">
        <v>29</v>
      </c>
      <c r="G485" s="18">
        <v>5</v>
      </c>
      <c r="H485" s="19" t="s">
        <v>13</v>
      </c>
    </row>
    <row r="486" spans="1:8" ht="17.399999999999999" thickBot="1" x14ac:dyDescent="0.45">
      <c r="A486" s="16">
        <v>485</v>
      </c>
      <c r="B486" s="17">
        <v>45762</v>
      </c>
      <c r="C486" s="17" t="str">
        <f>TEXT(sentiment[[#This Row],[date]],"MMM-YYYY")</f>
        <v>Apr-2025</v>
      </c>
      <c r="D486" s="18" t="s">
        <v>18</v>
      </c>
      <c r="E486" s="18" t="s">
        <v>15</v>
      </c>
      <c r="F486" s="18" t="s">
        <v>25</v>
      </c>
      <c r="G486" s="18">
        <v>2</v>
      </c>
      <c r="H486" s="19" t="s">
        <v>20</v>
      </c>
    </row>
    <row r="487" spans="1:8" ht="17.399999999999999" thickBot="1" x14ac:dyDescent="0.45">
      <c r="A487" s="16">
        <v>486</v>
      </c>
      <c r="B487" s="17">
        <v>45961</v>
      </c>
      <c r="C487" s="17" t="str">
        <f>TEXT(sentiment[[#This Row],[date]],"MMM-YYYY")</f>
        <v>Oct-2025</v>
      </c>
      <c r="D487" s="18" t="s">
        <v>26</v>
      </c>
      <c r="E487" s="18" t="s">
        <v>11</v>
      </c>
      <c r="F487" s="18" t="s">
        <v>19</v>
      </c>
      <c r="G487" s="18">
        <v>1</v>
      </c>
      <c r="H487" s="19" t="s">
        <v>20</v>
      </c>
    </row>
    <row r="488" spans="1:8" ht="17.399999999999999" thickBot="1" x14ac:dyDescent="0.45">
      <c r="A488" s="16">
        <v>487</v>
      </c>
      <c r="B488" s="17">
        <v>45680</v>
      </c>
      <c r="C488" s="17" t="str">
        <f>TEXT(sentiment[[#This Row],[date]],"MMM-YYYY")</f>
        <v>Jan-2025</v>
      </c>
      <c r="D488" s="18" t="s">
        <v>22</v>
      </c>
      <c r="E488" s="18" t="s">
        <v>11</v>
      </c>
      <c r="F488" s="18" t="s">
        <v>32</v>
      </c>
      <c r="G488" s="18">
        <v>5</v>
      </c>
      <c r="H488" s="19" t="s">
        <v>13</v>
      </c>
    </row>
    <row r="489" spans="1:8" ht="17.399999999999999" thickBot="1" x14ac:dyDescent="0.45">
      <c r="A489" s="16">
        <v>488</v>
      </c>
      <c r="B489" s="17">
        <v>45467</v>
      </c>
      <c r="C489" s="17" t="str">
        <f>TEXT(sentiment[[#This Row],[date]],"MMM-YYYY")</f>
        <v>Jun-2024</v>
      </c>
      <c r="D489" s="18" t="s">
        <v>14</v>
      </c>
      <c r="E489" s="18" t="s">
        <v>8</v>
      </c>
      <c r="F489" s="18" t="s">
        <v>32</v>
      </c>
      <c r="G489" s="18">
        <v>4</v>
      </c>
      <c r="H489" s="19" t="s">
        <v>13</v>
      </c>
    </row>
    <row r="490" spans="1:8" ht="17.399999999999999" thickBot="1" x14ac:dyDescent="0.45">
      <c r="A490" s="16">
        <v>489</v>
      </c>
      <c r="B490" s="17">
        <v>45871</v>
      </c>
      <c r="C490" s="17" t="str">
        <f>TEXT(sentiment[[#This Row],[date]],"MMM-YYYY")</f>
        <v>Aug-2025</v>
      </c>
      <c r="D490" s="18" t="s">
        <v>26</v>
      </c>
      <c r="E490" s="18" t="s">
        <v>15</v>
      </c>
      <c r="F490" s="18" t="s">
        <v>30</v>
      </c>
      <c r="G490" s="18">
        <v>4</v>
      </c>
      <c r="H490" s="19" t="s">
        <v>10</v>
      </c>
    </row>
    <row r="491" spans="1:8" ht="17.399999999999999" thickBot="1" x14ac:dyDescent="0.45">
      <c r="A491" s="16">
        <v>490</v>
      </c>
      <c r="B491" s="17">
        <v>45508</v>
      </c>
      <c r="C491" s="17" t="str">
        <f>TEXT(sentiment[[#This Row],[date]],"MMM-YYYY")</f>
        <v>Aug-2024</v>
      </c>
      <c r="D491" s="18" t="s">
        <v>26</v>
      </c>
      <c r="E491" s="18" t="s">
        <v>11</v>
      </c>
      <c r="F491" s="18" t="s">
        <v>12</v>
      </c>
      <c r="G491" s="18">
        <v>4</v>
      </c>
      <c r="H491" s="19" t="s">
        <v>13</v>
      </c>
    </row>
    <row r="492" spans="1:8" ht="17.399999999999999" thickBot="1" x14ac:dyDescent="0.45">
      <c r="A492" s="16">
        <v>491</v>
      </c>
      <c r="B492" s="17">
        <v>45339</v>
      </c>
      <c r="C492" s="17" t="str">
        <f>TEXT(sentiment[[#This Row],[date]],"MMM-YYYY")</f>
        <v>Feb-2024</v>
      </c>
      <c r="D492" s="18" t="s">
        <v>14</v>
      </c>
      <c r="E492" s="18" t="s">
        <v>11</v>
      </c>
      <c r="F492" s="18" t="s">
        <v>23</v>
      </c>
      <c r="G492" s="18">
        <v>2</v>
      </c>
      <c r="H492" s="19" t="s">
        <v>20</v>
      </c>
    </row>
    <row r="493" spans="1:8" ht="17.399999999999999" thickBot="1" x14ac:dyDescent="0.45">
      <c r="A493" s="16">
        <v>492</v>
      </c>
      <c r="B493" s="17">
        <v>45475</v>
      </c>
      <c r="C493" s="17" t="str">
        <f>TEXT(sentiment[[#This Row],[date]],"MMM-YYYY")</f>
        <v>Jul-2024</v>
      </c>
      <c r="D493" s="18" t="s">
        <v>26</v>
      </c>
      <c r="E493" s="18" t="s">
        <v>8</v>
      </c>
      <c r="F493" s="18" t="s">
        <v>33</v>
      </c>
      <c r="G493" s="18">
        <v>3</v>
      </c>
      <c r="H493" s="19" t="s">
        <v>10</v>
      </c>
    </row>
    <row r="494" spans="1:8" ht="17.399999999999999" thickBot="1" x14ac:dyDescent="0.45">
      <c r="A494" s="16">
        <v>493</v>
      </c>
      <c r="B494" s="17">
        <v>45699</v>
      </c>
      <c r="C494" s="17" t="str">
        <f>TEXT(sentiment[[#This Row],[date]],"MMM-YYYY")</f>
        <v>Feb-2025</v>
      </c>
      <c r="D494" s="18" t="s">
        <v>14</v>
      </c>
      <c r="E494" s="18" t="s">
        <v>8</v>
      </c>
      <c r="F494" s="18" t="s">
        <v>16</v>
      </c>
      <c r="G494" s="18">
        <v>4</v>
      </c>
      <c r="H494" s="19" t="s">
        <v>13</v>
      </c>
    </row>
    <row r="495" spans="1:8" ht="17.399999999999999" thickBot="1" x14ac:dyDescent="0.45">
      <c r="A495" s="16">
        <v>494</v>
      </c>
      <c r="B495" s="17">
        <v>45872</v>
      </c>
      <c r="C495" s="17" t="str">
        <f>TEXT(sentiment[[#This Row],[date]],"MMM-YYYY")</f>
        <v>Aug-2025</v>
      </c>
      <c r="D495" s="18" t="s">
        <v>26</v>
      </c>
      <c r="E495" s="18" t="s">
        <v>8</v>
      </c>
      <c r="F495" s="18" t="s">
        <v>30</v>
      </c>
      <c r="G495" s="18">
        <v>3</v>
      </c>
      <c r="H495" s="19" t="s">
        <v>10</v>
      </c>
    </row>
    <row r="496" spans="1:8" ht="17.399999999999999" thickBot="1" x14ac:dyDescent="0.45">
      <c r="A496" s="16">
        <v>495</v>
      </c>
      <c r="B496" s="17">
        <v>45435</v>
      </c>
      <c r="C496" s="17" t="str">
        <f>TEXT(sentiment[[#This Row],[date]],"MMM-YYYY")</f>
        <v>May-2024</v>
      </c>
      <c r="D496" s="18" t="s">
        <v>26</v>
      </c>
      <c r="E496" s="18" t="s">
        <v>11</v>
      </c>
      <c r="F496" s="18" t="s">
        <v>19</v>
      </c>
      <c r="G496" s="18">
        <v>2</v>
      </c>
      <c r="H496" s="19" t="s">
        <v>20</v>
      </c>
    </row>
    <row r="497" spans="1:8" ht="17.399999999999999" thickBot="1" x14ac:dyDescent="0.45">
      <c r="A497" s="16">
        <v>496</v>
      </c>
      <c r="B497" s="17">
        <v>45346</v>
      </c>
      <c r="C497" s="17" t="str">
        <f>TEXT(sentiment[[#This Row],[date]],"MMM-YYYY")</f>
        <v>Feb-2024</v>
      </c>
      <c r="D497" s="18" t="s">
        <v>14</v>
      </c>
      <c r="E497" s="18" t="s">
        <v>8</v>
      </c>
      <c r="F497" s="18" t="s">
        <v>9</v>
      </c>
      <c r="G497" s="18">
        <v>4</v>
      </c>
      <c r="H497" s="19" t="s">
        <v>10</v>
      </c>
    </row>
    <row r="498" spans="1:8" ht="17.399999999999999" thickBot="1" x14ac:dyDescent="0.45">
      <c r="A498" s="16">
        <v>497</v>
      </c>
      <c r="B498" s="17">
        <v>45911</v>
      </c>
      <c r="C498" s="17" t="str">
        <f>TEXT(sentiment[[#This Row],[date]],"MMM-YYYY")</f>
        <v>Sep-2025</v>
      </c>
      <c r="D498" s="18" t="s">
        <v>26</v>
      </c>
      <c r="E498" s="18" t="s">
        <v>11</v>
      </c>
      <c r="F498" s="18" t="s">
        <v>12</v>
      </c>
      <c r="G498" s="18">
        <v>5</v>
      </c>
      <c r="H498" s="19" t="s">
        <v>13</v>
      </c>
    </row>
    <row r="499" spans="1:8" ht="17.399999999999999" thickBot="1" x14ac:dyDescent="0.45">
      <c r="A499" s="16">
        <v>498</v>
      </c>
      <c r="B499" s="17">
        <v>45322</v>
      </c>
      <c r="C499" s="17" t="str">
        <f>TEXT(sentiment[[#This Row],[date]],"MMM-YYYY")</f>
        <v>Jan-2024</v>
      </c>
      <c r="D499" s="18" t="s">
        <v>7</v>
      </c>
      <c r="E499" s="18" t="s">
        <v>8</v>
      </c>
      <c r="F499" s="18" t="s">
        <v>27</v>
      </c>
      <c r="G499" s="18">
        <v>2</v>
      </c>
      <c r="H499" s="19" t="s">
        <v>20</v>
      </c>
    </row>
    <row r="500" spans="1:8" ht="17.399999999999999" thickBot="1" x14ac:dyDescent="0.45">
      <c r="A500" s="16">
        <v>499</v>
      </c>
      <c r="B500" s="17">
        <v>45656</v>
      </c>
      <c r="C500" s="17" t="str">
        <f>TEXT(sentiment[[#This Row],[date]],"MMM-YYYY")</f>
        <v>Dec-2024</v>
      </c>
      <c r="D500" s="18" t="s">
        <v>18</v>
      </c>
      <c r="E500" s="18" t="s">
        <v>8</v>
      </c>
      <c r="F500" s="18" t="s">
        <v>27</v>
      </c>
      <c r="G500" s="18">
        <v>1</v>
      </c>
      <c r="H500" s="19" t="s">
        <v>20</v>
      </c>
    </row>
    <row r="501" spans="1:8" ht="17.399999999999999" thickBot="1" x14ac:dyDescent="0.45">
      <c r="A501" s="16">
        <v>500</v>
      </c>
      <c r="B501" s="17">
        <v>45379</v>
      </c>
      <c r="C501" s="17" t="str">
        <f>TEXT(sentiment[[#This Row],[date]],"MMM-YYYY")</f>
        <v>Mar-2024</v>
      </c>
      <c r="D501" s="18" t="s">
        <v>26</v>
      </c>
      <c r="E501" s="18" t="s">
        <v>11</v>
      </c>
      <c r="F501" s="18" t="s">
        <v>28</v>
      </c>
      <c r="G501" s="18">
        <v>5</v>
      </c>
      <c r="H501" s="19" t="s">
        <v>13</v>
      </c>
    </row>
    <row r="502" spans="1:8" ht="17.399999999999999" thickBot="1" x14ac:dyDescent="0.45">
      <c r="A502" s="16">
        <v>501</v>
      </c>
      <c r="B502" s="17">
        <v>45376</v>
      </c>
      <c r="C502" s="17" t="str">
        <f>TEXT(sentiment[[#This Row],[date]],"MMM-YYYY")</f>
        <v>Mar-2024</v>
      </c>
      <c r="D502" s="18" t="s">
        <v>21</v>
      </c>
      <c r="E502" s="18" t="s">
        <v>15</v>
      </c>
      <c r="F502" s="18" t="s">
        <v>32</v>
      </c>
      <c r="G502" s="18">
        <v>4</v>
      </c>
      <c r="H502" s="19" t="s">
        <v>13</v>
      </c>
    </row>
    <row r="503" spans="1:8" ht="17.399999999999999" thickBot="1" x14ac:dyDescent="0.45">
      <c r="A503" s="16">
        <v>502</v>
      </c>
      <c r="B503" s="17">
        <v>45690</v>
      </c>
      <c r="C503" s="17" t="str">
        <f>TEXT(sentiment[[#This Row],[date]],"MMM-YYYY")</f>
        <v>Feb-2025</v>
      </c>
      <c r="D503" s="18" t="s">
        <v>21</v>
      </c>
      <c r="E503" s="18" t="s">
        <v>8</v>
      </c>
      <c r="F503" s="18" t="s">
        <v>33</v>
      </c>
      <c r="G503" s="18">
        <v>3</v>
      </c>
      <c r="H503" s="19" t="s">
        <v>10</v>
      </c>
    </row>
    <row r="504" spans="1:8" ht="17.399999999999999" thickBot="1" x14ac:dyDescent="0.45">
      <c r="A504" s="16">
        <v>503</v>
      </c>
      <c r="B504" s="17">
        <v>45607</v>
      </c>
      <c r="C504" s="17" t="str">
        <f>TEXT(sentiment[[#This Row],[date]],"MMM-YYYY")</f>
        <v>Nov-2024</v>
      </c>
      <c r="D504" s="18" t="s">
        <v>22</v>
      </c>
      <c r="E504" s="18" t="s">
        <v>8</v>
      </c>
      <c r="F504" s="18" t="s">
        <v>28</v>
      </c>
      <c r="G504" s="18">
        <v>4</v>
      </c>
      <c r="H504" s="19" t="s">
        <v>13</v>
      </c>
    </row>
    <row r="505" spans="1:8" ht="17.399999999999999" thickBot="1" x14ac:dyDescent="0.45">
      <c r="A505" s="16">
        <v>504</v>
      </c>
      <c r="B505" s="17">
        <v>45381</v>
      </c>
      <c r="C505" s="17" t="str">
        <f>TEXT(sentiment[[#This Row],[date]],"MMM-YYYY")</f>
        <v>Mar-2024</v>
      </c>
      <c r="D505" s="18" t="s">
        <v>17</v>
      </c>
      <c r="E505" s="18" t="s">
        <v>8</v>
      </c>
      <c r="F505" s="18" t="s">
        <v>32</v>
      </c>
      <c r="G505" s="18">
        <v>4</v>
      </c>
      <c r="H505" s="19" t="s">
        <v>13</v>
      </c>
    </row>
    <row r="506" spans="1:8" ht="17.399999999999999" thickBot="1" x14ac:dyDescent="0.45">
      <c r="A506" s="16">
        <v>505</v>
      </c>
      <c r="B506" s="17">
        <v>45397</v>
      </c>
      <c r="C506" s="17" t="str">
        <f>TEXT(sentiment[[#This Row],[date]],"MMM-YYYY")</f>
        <v>Apr-2024</v>
      </c>
      <c r="D506" s="18" t="s">
        <v>14</v>
      </c>
      <c r="E506" s="18" t="s">
        <v>15</v>
      </c>
      <c r="F506" s="18" t="s">
        <v>31</v>
      </c>
      <c r="G506" s="18">
        <v>4</v>
      </c>
      <c r="H506" s="19" t="s">
        <v>10</v>
      </c>
    </row>
    <row r="507" spans="1:8" ht="17.399999999999999" thickBot="1" x14ac:dyDescent="0.45">
      <c r="A507" s="16">
        <v>506</v>
      </c>
      <c r="B507" s="17">
        <v>45903</v>
      </c>
      <c r="C507" s="17" t="str">
        <f>TEXT(sentiment[[#This Row],[date]],"MMM-YYYY")</f>
        <v>Sep-2025</v>
      </c>
      <c r="D507" s="18" t="s">
        <v>18</v>
      </c>
      <c r="E507" s="18" t="s">
        <v>8</v>
      </c>
      <c r="F507" s="18" t="s">
        <v>34</v>
      </c>
      <c r="G507" s="18">
        <v>3</v>
      </c>
      <c r="H507" s="19" t="s">
        <v>10</v>
      </c>
    </row>
    <row r="508" spans="1:8" ht="17.399999999999999" thickBot="1" x14ac:dyDescent="0.45">
      <c r="A508" s="16">
        <v>507</v>
      </c>
      <c r="B508" s="17">
        <v>45715</v>
      </c>
      <c r="C508" s="17" t="str">
        <f>TEXT(sentiment[[#This Row],[date]],"MMM-YYYY")</f>
        <v>Feb-2025</v>
      </c>
      <c r="D508" s="18" t="s">
        <v>22</v>
      </c>
      <c r="E508" s="18" t="s">
        <v>15</v>
      </c>
      <c r="F508" s="18" t="s">
        <v>12</v>
      </c>
      <c r="G508" s="18">
        <v>5</v>
      </c>
      <c r="H508" s="19" t="s">
        <v>13</v>
      </c>
    </row>
    <row r="509" spans="1:8" ht="17.399999999999999" thickBot="1" x14ac:dyDescent="0.45">
      <c r="A509" s="16">
        <v>508</v>
      </c>
      <c r="B509" s="17">
        <v>45681</v>
      </c>
      <c r="C509" s="17" t="str">
        <f>TEXT(sentiment[[#This Row],[date]],"MMM-YYYY")</f>
        <v>Jan-2025</v>
      </c>
      <c r="D509" s="18" t="s">
        <v>17</v>
      </c>
      <c r="E509" s="18" t="s">
        <v>15</v>
      </c>
      <c r="F509" s="18" t="s">
        <v>28</v>
      </c>
      <c r="G509" s="18">
        <v>4</v>
      </c>
      <c r="H509" s="19" t="s">
        <v>13</v>
      </c>
    </row>
    <row r="510" spans="1:8" ht="17.399999999999999" thickBot="1" x14ac:dyDescent="0.45">
      <c r="A510" s="16">
        <v>509</v>
      </c>
      <c r="B510" s="17">
        <v>45796</v>
      </c>
      <c r="C510" s="17" t="str">
        <f>TEXT(sentiment[[#This Row],[date]],"MMM-YYYY")</f>
        <v>May-2025</v>
      </c>
      <c r="D510" s="18" t="s">
        <v>17</v>
      </c>
      <c r="E510" s="18" t="s">
        <v>15</v>
      </c>
      <c r="F510" s="18" t="s">
        <v>25</v>
      </c>
      <c r="G510" s="18">
        <v>2</v>
      </c>
      <c r="H510" s="19" t="s">
        <v>20</v>
      </c>
    </row>
    <row r="511" spans="1:8" ht="17.399999999999999" thickBot="1" x14ac:dyDescent="0.45">
      <c r="A511" s="16">
        <v>510</v>
      </c>
      <c r="B511" s="17">
        <v>45723</v>
      </c>
      <c r="C511" s="17" t="str">
        <f>TEXT(sentiment[[#This Row],[date]],"MMM-YYYY")</f>
        <v>Mar-2025</v>
      </c>
      <c r="D511" s="18" t="s">
        <v>21</v>
      </c>
      <c r="E511" s="18" t="s">
        <v>8</v>
      </c>
      <c r="F511" s="18" t="s">
        <v>19</v>
      </c>
      <c r="G511" s="18">
        <v>2</v>
      </c>
      <c r="H511" s="19" t="s">
        <v>20</v>
      </c>
    </row>
    <row r="512" spans="1:8" ht="17.399999999999999" thickBot="1" x14ac:dyDescent="0.45">
      <c r="A512" s="16">
        <v>511</v>
      </c>
      <c r="B512" s="17">
        <v>45544</v>
      </c>
      <c r="C512" s="17" t="str">
        <f>TEXT(sentiment[[#This Row],[date]],"MMM-YYYY")</f>
        <v>Sep-2024</v>
      </c>
      <c r="D512" s="18" t="s">
        <v>7</v>
      </c>
      <c r="E512" s="18" t="s">
        <v>11</v>
      </c>
      <c r="F512" s="18" t="s">
        <v>27</v>
      </c>
      <c r="G512" s="18">
        <v>2</v>
      </c>
      <c r="H512" s="19" t="s">
        <v>20</v>
      </c>
    </row>
    <row r="513" spans="1:8" ht="17.399999999999999" thickBot="1" x14ac:dyDescent="0.45">
      <c r="A513" s="16">
        <v>512</v>
      </c>
      <c r="B513" s="17">
        <v>45760</v>
      </c>
      <c r="C513" s="17" t="str">
        <f>TEXT(sentiment[[#This Row],[date]],"MMM-YYYY")</f>
        <v>Apr-2025</v>
      </c>
      <c r="D513" s="18" t="s">
        <v>14</v>
      </c>
      <c r="E513" s="18" t="s">
        <v>15</v>
      </c>
      <c r="F513" s="18" t="s">
        <v>31</v>
      </c>
      <c r="G513" s="18">
        <v>3</v>
      </c>
      <c r="H513" s="19" t="s">
        <v>10</v>
      </c>
    </row>
    <row r="514" spans="1:8" ht="17.399999999999999" thickBot="1" x14ac:dyDescent="0.45">
      <c r="A514" s="16">
        <v>513</v>
      </c>
      <c r="B514" s="17">
        <v>45632</v>
      </c>
      <c r="C514" s="17" t="str">
        <f>TEXT(sentiment[[#This Row],[date]],"MMM-YYYY")</f>
        <v>Dec-2024</v>
      </c>
      <c r="D514" s="18" t="s">
        <v>26</v>
      </c>
      <c r="E514" s="18" t="s">
        <v>11</v>
      </c>
      <c r="F514" s="18" t="s">
        <v>32</v>
      </c>
      <c r="G514" s="18">
        <v>5</v>
      </c>
      <c r="H514" s="19" t="s">
        <v>13</v>
      </c>
    </row>
    <row r="515" spans="1:8" ht="17.399999999999999" thickBot="1" x14ac:dyDescent="0.45">
      <c r="A515" s="16">
        <v>514</v>
      </c>
      <c r="B515" s="17">
        <v>45634</v>
      </c>
      <c r="C515" s="17" t="str">
        <f>TEXT(sentiment[[#This Row],[date]],"MMM-YYYY")</f>
        <v>Dec-2024</v>
      </c>
      <c r="D515" s="18" t="s">
        <v>22</v>
      </c>
      <c r="E515" s="18" t="s">
        <v>11</v>
      </c>
      <c r="F515" s="18" t="s">
        <v>24</v>
      </c>
      <c r="G515" s="18">
        <v>2</v>
      </c>
      <c r="H515" s="19" t="s">
        <v>20</v>
      </c>
    </row>
    <row r="516" spans="1:8" ht="17.399999999999999" thickBot="1" x14ac:dyDescent="0.45">
      <c r="A516" s="16">
        <v>515</v>
      </c>
      <c r="B516" s="17">
        <v>45620</v>
      </c>
      <c r="C516" s="17" t="str">
        <f>TEXT(sentiment[[#This Row],[date]],"MMM-YYYY")</f>
        <v>Nov-2024</v>
      </c>
      <c r="D516" s="18" t="s">
        <v>18</v>
      </c>
      <c r="E516" s="18" t="s">
        <v>11</v>
      </c>
      <c r="F516" s="18" t="s">
        <v>16</v>
      </c>
      <c r="G516" s="18">
        <v>5</v>
      </c>
      <c r="H516" s="19" t="s">
        <v>13</v>
      </c>
    </row>
    <row r="517" spans="1:8" ht="17.399999999999999" thickBot="1" x14ac:dyDescent="0.45">
      <c r="A517" s="16">
        <v>516</v>
      </c>
      <c r="B517" s="17">
        <v>45473</v>
      </c>
      <c r="C517" s="17" t="str">
        <f>TEXT(sentiment[[#This Row],[date]],"MMM-YYYY")</f>
        <v>Jun-2024</v>
      </c>
      <c r="D517" s="18" t="s">
        <v>22</v>
      </c>
      <c r="E517" s="18" t="s">
        <v>8</v>
      </c>
      <c r="F517" s="18" t="s">
        <v>23</v>
      </c>
      <c r="G517" s="18">
        <v>2</v>
      </c>
      <c r="H517" s="19" t="s">
        <v>20</v>
      </c>
    </row>
    <row r="518" spans="1:8" ht="17.399999999999999" thickBot="1" x14ac:dyDescent="0.45">
      <c r="A518" s="16">
        <v>517</v>
      </c>
      <c r="B518" s="17">
        <v>45881</v>
      </c>
      <c r="C518" s="17" t="str">
        <f>TEXT(sentiment[[#This Row],[date]],"MMM-YYYY")</f>
        <v>Aug-2025</v>
      </c>
      <c r="D518" s="18" t="s">
        <v>26</v>
      </c>
      <c r="E518" s="18" t="s">
        <v>15</v>
      </c>
      <c r="F518" s="18" t="s">
        <v>31</v>
      </c>
      <c r="G518" s="18">
        <v>4</v>
      </c>
      <c r="H518" s="19" t="s">
        <v>10</v>
      </c>
    </row>
    <row r="519" spans="1:8" ht="17.399999999999999" thickBot="1" x14ac:dyDescent="0.45">
      <c r="A519" s="16">
        <v>518</v>
      </c>
      <c r="B519" s="17">
        <v>45694</v>
      </c>
      <c r="C519" s="17" t="str">
        <f>TEXT(sentiment[[#This Row],[date]],"MMM-YYYY")</f>
        <v>Feb-2025</v>
      </c>
      <c r="D519" s="18" t="s">
        <v>21</v>
      </c>
      <c r="E519" s="18" t="s">
        <v>15</v>
      </c>
      <c r="F519" s="18" t="s">
        <v>24</v>
      </c>
      <c r="G519" s="18">
        <v>2</v>
      </c>
      <c r="H519" s="19" t="s">
        <v>20</v>
      </c>
    </row>
    <row r="520" spans="1:8" ht="17.399999999999999" thickBot="1" x14ac:dyDescent="0.45">
      <c r="A520" s="16">
        <v>519</v>
      </c>
      <c r="B520" s="17">
        <v>45990</v>
      </c>
      <c r="C520" s="17" t="str">
        <f>TEXT(sentiment[[#This Row],[date]],"MMM-YYYY")</f>
        <v>Nov-2025</v>
      </c>
      <c r="D520" s="18" t="s">
        <v>26</v>
      </c>
      <c r="E520" s="18" t="s">
        <v>11</v>
      </c>
      <c r="F520" s="18" t="s">
        <v>29</v>
      </c>
      <c r="G520" s="18">
        <v>4</v>
      </c>
      <c r="H520" s="19" t="s">
        <v>13</v>
      </c>
    </row>
    <row r="521" spans="1:8" ht="17.399999999999999" thickBot="1" x14ac:dyDescent="0.45">
      <c r="A521" s="16">
        <v>520</v>
      </c>
      <c r="B521" s="17">
        <v>45506</v>
      </c>
      <c r="C521" s="17" t="str">
        <f>TEXT(sentiment[[#This Row],[date]],"MMM-YYYY")</f>
        <v>Aug-2024</v>
      </c>
      <c r="D521" s="18" t="s">
        <v>22</v>
      </c>
      <c r="E521" s="18" t="s">
        <v>8</v>
      </c>
      <c r="F521" s="18" t="s">
        <v>33</v>
      </c>
      <c r="G521" s="18">
        <v>4</v>
      </c>
      <c r="H521" s="19" t="s">
        <v>10</v>
      </c>
    </row>
    <row r="522" spans="1:8" ht="17.399999999999999" thickBot="1" x14ac:dyDescent="0.45">
      <c r="A522" s="16">
        <v>521</v>
      </c>
      <c r="B522" s="17">
        <v>45434</v>
      </c>
      <c r="C522" s="17" t="str">
        <f>TEXT(sentiment[[#This Row],[date]],"MMM-YYYY")</f>
        <v>May-2024</v>
      </c>
      <c r="D522" s="18" t="s">
        <v>7</v>
      </c>
      <c r="E522" s="18" t="s">
        <v>8</v>
      </c>
      <c r="F522" s="18" t="s">
        <v>25</v>
      </c>
      <c r="G522" s="18">
        <v>2</v>
      </c>
      <c r="H522" s="19" t="s">
        <v>20</v>
      </c>
    </row>
    <row r="523" spans="1:8" ht="17.399999999999999" thickBot="1" x14ac:dyDescent="0.45">
      <c r="A523" s="16">
        <v>522</v>
      </c>
      <c r="B523" s="17">
        <v>45725</v>
      </c>
      <c r="C523" s="17" t="str">
        <f>TEXT(sentiment[[#This Row],[date]],"MMM-YYYY")</f>
        <v>Mar-2025</v>
      </c>
      <c r="D523" s="18" t="s">
        <v>26</v>
      </c>
      <c r="E523" s="18" t="s">
        <v>8</v>
      </c>
      <c r="F523" s="18" t="s">
        <v>19</v>
      </c>
      <c r="G523" s="18">
        <v>1</v>
      </c>
      <c r="H523" s="19" t="s">
        <v>20</v>
      </c>
    </row>
    <row r="524" spans="1:8" ht="17.399999999999999" thickBot="1" x14ac:dyDescent="0.45">
      <c r="A524" s="16">
        <v>523</v>
      </c>
      <c r="B524" s="17">
        <v>45888</v>
      </c>
      <c r="C524" s="17" t="str">
        <f>TEXT(sentiment[[#This Row],[date]],"MMM-YYYY")</f>
        <v>Aug-2025</v>
      </c>
      <c r="D524" s="18" t="s">
        <v>22</v>
      </c>
      <c r="E524" s="18" t="s">
        <v>11</v>
      </c>
      <c r="F524" s="18" t="s">
        <v>24</v>
      </c>
      <c r="G524" s="18">
        <v>2</v>
      </c>
      <c r="H524" s="19" t="s">
        <v>20</v>
      </c>
    </row>
    <row r="525" spans="1:8" ht="17.399999999999999" thickBot="1" x14ac:dyDescent="0.45">
      <c r="A525" s="16">
        <v>524</v>
      </c>
      <c r="B525" s="17">
        <v>45848</v>
      </c>
      <c r="C525" s="17" t="str">
        <f>TEXT(sentiment[[#This Row],[date]],"MMM-YYYY")</f>
        <v>Jul-2025</v>
      </c>
      <c r="D525" s="18" t="s">
        <v>14</v>
      </c>
      <c r="E525" s="18" t="s">
        <v>8</v>
      </c>
      <c r="F525" s="18" t="s">
        <v>30</v>
      </c>
      <c r="G525" s="18">
        <v>4</v>
      </c>
      <c r="H525" s="19" t="s">
        <v>10</v>
      </c>
    </row>
    <row r="526" spans="1:8" ht="17.399999999999999" thickBot="1" x14ac:dyDescent="0.45">
      <c r="A526" s="16">
        <v>525</v>
      </c>
      <c r="B526" s="17">
        <v>45403</v>
      </c>
      <c r="C526" s="17" t="str">
        <f>TEXT(sentiment[[#This Row],[date]],"MMM-YYYY")</f>
        <v>Apr-2024</v>
      </c>
      <c r="D526" s="18" t="s">
        <v>26</v>
      </c>
      <c r="E526" s="18" t="s">
        <v>15</v>
      </c>
      <c r="F526" s="18" t="s">
        <v>31</v>
      </c>
      <c r="G526" s="18">
        <v>3</v>
      </c>
      <c r="H526" s="19" t="s">
        <v>10</v>
      </c>
    </row>
    <row r="527" spans="1:8" ht="17.399999999999999" thickBot="1" x14ac:dyDescent="0.45">
      <c r="A527" s="16">
        <v>526</v>
      </c>
      <c r="B527" s="17">
        <v>45868</v>
      </c>
      <c r="C527" s="17" t="str">
        <f>TEXT(sentiment[[#This Row],[date]],"MMM-YYYY")</f>
        <v>Jul-2025</v>
      </c>
      <c r="D527" s="18" t="s">
        <v>7</v>
      </c>
      <c r="E527" s="18" t="s">
        <v>11</v>
      </c>
      <c r="F527" s="18" t="s">
        <v>32</v>
      </c>
      <c r="G527" s="18">
        <v>4</v>
      </c>
      <c r="H527" s="19" t="s">
        <v>13</v>
      </c>
    </row>
    <row r="528" spans="1:8" ht="17.399999999999999" thickBot="1" x14ac:dyDescent="0.45">
      <c r="A528" s="16">
        <v>527</v>
      </c>
      <c r="B528" s="17">
        <v>45400</v>
      </c>
      <c r="C528" s="17" t="str">
        <f>TEXT(sentiment[[#This Row],[date]],"MMM-YYYY")</f>
        <v>Apr-2024</v>
      </c>
      <c r="D528" s="18" t="s">
        <v>14</v>
      </c>
      <c r="E528" s="18" t="s">
        <v>15</v>
      </c>
      <c r="F528" s="18" t="s">
        <v>23</v>
      </c>
      <c r="G528" s="18">
        <v>2</v>
      </c>
      <c r="H528" s="19" t="s">
        <v>20</v>
      </c>
    </row>
    <row r="529" spans="1:8" ht="17.399999999999999" thickBot="1" x14ac:dyDescent="0.45">
      <c r="A529" s="16">
        <v>528</v>
      </c>
      <c r="B529" s="17">
        <v>45748</v>
      </c>
      <c r="C529" s="17" t="str">
        <f>TEXT(sentiment[[#This Row],[date]],"MMM-YYYY")</f>
        <v>Apr-2025</v>
      </c>
      <c r="D529" s="18" t="s">
        <v>21</v>
      </c>
      <c r="E529" s="18" t="s">
        <v>8</v>
      </c>
      <c r="F529" s="18" t="s">
        <v>32</v>
      </c>
      <c r="G529" s="18">
        <v>4</v>
      </c>
      <c r="H529" s="19" t="s">
        <v>13</v>
      </c>
    </row>
    <row r="530" spans="1:8" ht="17.399999999999999" thickBot="1" x14ac:dyDescent="0.45">
      <c r="A530" s="16">
        <v>529</v>
      </c>
      <c r="B530" s="17">
        <v>45645</v>
      </c>
      <c r="C530" s="17" t="str">
        <f>TEXT(sentiment[[#This Row],[date]],"MMM-YYYY")</f>
        <v>Dec-2024</v>
      </c>
      <c r="D530" s="18" t="s">
        <v>14</v>
      </c>
      <c r="E530" s="18" t="s">
        <v>8</v>
      </c>
      <c r="F530" s="18" t="s">
        <v>33</v>
      </c>
      <c r="G530" s="18">
        <v>3</v>
      </c>
      <c r="H530" s="19" t="s">
        <v>10</v>
      </c>
    </row>
    <row r="531" spans="1:8" ht="17.399999999999999" thickBot="1" x14ac:dyDescent="0.45">
      <c r="A531" s="16">
        <v>530</v>
      </c>
      <c r="B531" s="17">
        <v>45379</v>
      </c>
      <c r="C531" s="17" t="str">
        <f>TEXT(sentiment[[#This Row],[date]],"MMM-YYYY")</f>
        <v>Mar-2024</v>
      </c>
      <c r="D531" s="18" t="s">
        <v>14</v>
      </c>
      <c r="E531" s="18" t="s">
        <v>11</v>
      </c>
      <c r="F531" s="18" t="s">
        <v>25</v>
      </c>
      <c r="G531" s="18">
        <v>2</v>
      </c>
      <c r="H531" s="19" t="s">
        <v>20</v>
      </c>
    </row>
    <row r="532" spans="1:8" ht="17.399999999999999" thickBot="1" x14ac:dyDescent="0.45">
      <c r="A532" s="16">
        <v>531</v>
      </c>
      <c r="B532" s="17">
        <v>45643</v>
      </c>
      <c r="C532" s="17" t="str">
        <f>TEXT(sentiment[[#This Row],[date]],"MMM-YYYY")</f>
        <v>Dec-2024</v>
      </c>
      <c r="D532" s="18" t="s">
        <v>22</v>
      </c>
      <c r="E532" s="18" t="s">
        <v>15</v>
      </c>
      <c r="F532" s="18" t="s">
        <v>24</v>
      </c>
      <c r="G532" s="18">
        <v>2</v>
      </c>
      <c r="H532" s="19" t="s">
        <v>20</v>
      </c>
    </row>
    <row r="533" spans="1:8" ht="17.399999999999999" thickBot="1" x14ac:dyDescent="0.45">
      <c r="A533" s="16">
        <v>532</v>
      </c>
      <c r="B533" s="17">
        <v>45779</v>
      </c>
      <c r="C533" s="17" t="str">
        <f>TEXT(sentiment[[#This Row],[date]],"MMM-YYYY")</f>
        <v>May-2025</v>
      </c>
      <c r="D533" s="18" t="s">
        <v>14</v>
      </c>
      <c r="E533" s="18" t="s">
        <v>8</v>
      </c>
      <c r="F533" s="18" t="s">
        <v>27</v>
      </c>
      <c r="G533" s="18">
        <v>2</v>
      </c>
      <c r="H533" s="19" t="s">
        <v>20</v>
      </c>
    </row>
    <row r="534" spans="1:8" ht="17.399999999999999" thickBot="1" x14ac:dyDescent="0.45">
      <c r="A534" s="16">
        <v>533</v>
      </c>
      <c r="B534" s="17">
        <v>45599</v>
      </c>
      <c r="C534" s="17" t="str">
        <f>TEXT(sentiment[[#This Row],[date]],"MMM-YYYY")</f>
        <v>Nov-2024</v>
      </c>
      <c r="D534" s="18" t="s">
        <v>14</v>
      </c>
      <c r="E534" s="18" t="s">
        <v>11</v>
      </c>
      <c r="F534" s="18" t="s">
        <v>19</v>
      </c>
      <c r="G534" s="18">
        <v>1</v>
      </c>
      <c r="H534" s="19" t="s">
        <v>20</v>
      </c>
    </row>
    <row r="535" spans="1:8" ht="17.399999999999999" thickBot="1" x14ac:dyDescent="0.45">
      <c r="A535" s="16">
        <v>534</v>
      </c>
      <c r="B535" s="17">
        <v>45955</v>
      </c>
      <c r="C535" s="17" t="str">
        <f>TEXT(sentiment[[#This Row],[date]],"MMM-YYYY")</f>
        <v>Oct-2025</v>
      </c>
      <c r="D535" s="18" t="s">
        <v>14</v>
      </c>
      <c r="E535" s="18" t="s">
        <v>11</v>
      </c>
      <c r="F535" s="18" t="s">
        <v>16</v>
      </c>
      <c r="G535" s="18">
        <v>5</v>
      </c>
      <c r="H535" s="19" t="s">
        <v>13</v>
      </c>
    </row>
    <row r="536" spans="1:8" ht="17.399999999999999" thickBot="1" x14ac:dyDescent="0.45">
      <c r="A536" s="16">
        <v>535</v>
      </c>
      <c r="B536" s="17">
        <v>45820</v>
      </c>
      <c r="C536" s="17" t="str">
        <f>TEXT(sentiment[[#This Row],[date]],"MMM-YYYY")</f>
        <v>Jun-2025</v>
      </c>
      <c r="D536" s="18" t="s">
        <v>17</v>
      </c>
      <c r="E536" s="18" t="s">
        <v>11</v>
      </c>
      <c r="F536" s="18" t="s">
        <v>9</v>
      </c>
      <c r="G536" s="18">
        <v>3</v>
      </c>
      <c r="H536" s="19" t="s">
        <v>10</v>
      </c>
    </row>
    <row r="537" spans="1:8" ht="17.399999999999999" thickBot="1" x14ac:dyDescent="0.45">
      <c r="A537" s="16">
        <v>536</v>
      </c>
      <c r="B537" s="17">
        <v>45765</v>
      </c>
      <c r="C537" s="17" t="str">
        <f>TEXT(sentiment[[#This Row],[date]],"MMM-YYYY")</f>
        <v>Apr-2025</v>
      </c>
      <c r="D537" s="18" t="s">
        <v>17</v>
      </c>
      <c r="E537" s="18" t="s">
        <v>8</v>
      </c>
      <c r="F537" s="18" t="s">
        <v>25</v>
      </c>
      <c r="G537" s="18">
        <v>2</v>
      </c>
      <c r="H537" s="19" t="s">
        <v>20</v>
      </c>
    </row>
    <row r="538" spans="1:8" ht="17.399999999999999" thickBot="1" x14ac:dyDescent="0.45">
      <c r="A538" s="16">
        <v>537</v>
      </c>
      <c r="B538" s="17">
        <v>45697</v>
      </c>
      <c r="C538" s="17" t="str">
        <f>TEXT(sentiment[[#This Row],[date]],"MMM-YYYY")</f>
        <v>Feb-2025</v>
      </c>
      <c r="D538" s="18" t="s">
        <v>14</v>
      </c>
      <c r="E538" s="18" t="s">
        <v>11</v>
      </c>
      <c r="F538" s="18" t="s">
        <v>12</v>
      </c>
      <c r="G538" s="18">
        <v>5</v>
      </c>
      <c r="H538" s="19" t="s">
        <v>13</v>
      </c>
    </row>
    <row r="539" spans="1:8" ht="17.399999999999999" thickBot="1" x14ac:dyDescent="0.45">
      <c r="A539" s="16">
        <v>538</v>
      </c>
      <c r="B539" s="17">
        <v>45898</v>
      </c>
      <c r="C539" s="17" t="str">
        <f>TEXT(sentiment[[#This Row],[date]],"MMM-YYYY")</f>
        <v>Aug-2025</v>
      </c>
      <c r="D539" s="18" t="s">
        <v>22</v>
      </c>
      <c r="E539" s="18" t="s">
        <v>8</v>
      </c>
      <c r="F539" s="18" t="s">
        <v>29</v>
      </c>
      <c r="G539" s="18">
        <v>5</v>
      </c>
      <c r="H539" s="19" t="s">
        <v>13</v>
      </c>
    </row>
    <row r="540" spans="1:8" ht="17.399999999999999" thickBot="1" x14ac:dyDescent="0.45">
      <c r="A540" s="16">
        <v>539</v>
      </c>
      <c r="B540" s="17">
        <v>45502</v>
      </c>
      <c r="C540" s="17" t="str">
        <f>TEXT(sentiment[[#This Row],[date]],"MMM-YYYY")</f>
        <v>Jul-2024</v>
      </c>
      <c r="D540" s="18" t="s">
        <v>21</v>
      </c>
      <c r="E540" s="18" t="s">
        <v>11</v>
      </c>
      <c r="F540" s="18" t="s">
        <v>33</v>
      </c>
      <c r="G540" s="18">
        <v>3</v>
      </c>
      <c r="H540" s="19" t="s">
        <v>10</v>
      </c>
    </row>
    <row r="541" spans="1:8" ht="17.399999999999999" thickBot="1" x14ac:dyDescent="0.45">
      <c r="A541" s="16">
        <v>540</v>
      </c>
      <c r="B541" s="17">
        <v>45841</v>
      </c>
      <c r="C541" s="17" t="str">
        <f>TEXT(sentiment[[#This Row],[date]],"MMM-YYYY")</f>
        <v>Jul-2025</v>
      </c>
      <c r="D541" s="18" t="s">
        <v>17</v>
      </c>
      <c r="E541" s="18" t="s">
        <v>8</v>
      </c>
      <c r="F541" s="18" t="s">
        <v>31</v>
      </c>
      <c r="G541" s="18">
        <v>3</v>
      </c>
      <c r="H541" s="19" t="s">
        <v>10</v>
      </c>
    </row>
    <row r="542" spans="1:8" ht="17.399999999999999" thickBot="1" x14ac:dyDescent="0.45">
      <c r="A542" s="16">
        <v>541</v>
      </c>
      <c r="B542" s="17">
        <v>45408</v>
      </c>
      <c r="C542" s="17" t="str">
        <f>TEXT(sentiment[[#This Row],[date]],"MMM-YYYY")</f>
        <v>Apr-2024</v>
      </c>
      <c r="D542" s="18" t="s">
        <v>21</v>
      </c>
      <c r="E542" s="18" t="s">
        <v>11</v>
      </c>
      <c r="F542" s="18" t="s">
        <v>32</v>
      </c>
      <c r="G542" s="18">
        <v>5</v>
      </c>
      <c r="H542" s="19" t="s">
        <v>13</v>
      </c>
    </row>
    <row r="543" spans="1:8" ht="17.399999999999999" thickBot="1" x14ac:dyDescent="0.45">
      <c r="A543" s="16">
        <v>542</v>
      </c>
      <c r="B543" s="17">
        <v>45903</v>
      </c>
      <c r="C543" s="17" t="str">
        <f>TEXT(sentiment[[#This Row],[date]],"MMM-YYYY")</f>
        <v>Sep-2025</v>
      </c>
      <c r="D543" s="18" t="s">
        <v>22</v>
      </c>
      <c r="E543" s="18" t="s">
        <v>11</v>
      </c>
      <c r="F543" s="18" t="s">
        <v>34</v>
      </c>
      <c r="G543" s="18">
        <v>4</v>
      </c>
      <c r="H543" s="19" t="s">
        <v>10</v>
      </c>
    </row>
    <row r="544" spans="1:8" ht="17.399999999999999" thickBot="1" x14ac:dyDescent="0.45">
      <c r="A544" s="16">
        <v>543</v>
      </c>
      <c r="B544" s="17">
        <v>45648</v>
      </c>
      <c r="C544" s="17" t="str">
        <f>TEXT(sentiment[[#This Row],[date]],"MMM-YYYY")</f>
        <v>Dec-2024</v>
      </c>
      <c r="D544" s="18" t="s">
        <v>21</v>
      </c>
      <c r="E544" s="18" t="s">
        <v>8</v>
      </c>
      <c r="F544" s="18" t="s">
        <v>30</v>
      </c>
      <c r="G544" s="18">
        <v>3</v>
      </c>
      <c r="H544" s="19" t="s">
        <v>10</v>
      </c>
    </row>
    <row r="545" spans="1:8" ht="17.399999999999999" thickBot="1" x14ac:dyDescent="0.45">
      <c r="A545" s="16">
        <v>544</v>
      </c>
      <c r="B545" s="17">
        <v>45921</v>
      </c>
      <c r="C545" s="17" t="str">
        <f>TEXT(sentiment[[#This Row],[date]],"MMM-YYYY")</f>
        <v>Sep-2025</v>
      </c>
      <c r="D545" s="18" t="s">
        <v>18</v>
      </c>
      <c r="E545" s="18" t="s">
        <v>15</v>
      </c>
      <c r="F545" s="18" t="s">
        <v>16</v>
      </c>
      <c r="G545" s="18">
        <v>5</v>
      </c>
      <c r="H545" s="19" t="s">
        <v>13</v>
      </c>
    </row>
    <row r="546" spans="1:8" ht="17.399999999999999" thickBot="1" x14ac:dyDescent="0.45">
      <c r="A546" s="16">
        <v>545</v>
      </c>
      <c r="B546" s="17">
        <v>45536</v>
      </c>
      <c r="C546" s="17" t="str">
        <f>TEXT(sentiment[[#This Row],[date]],"MMM-YYYY")</f>
        <v>Sep-2024</v>
      </c>
      <c r="D546" s="18" t="s">
        <v>21</v>
      </c>
      <c r="E546" s="18" t="s">
        <v>15</v>
      </c>
      <c r="F546" s="18" t="s">
        <v>25</v>
      </c>
      <c r="G546" s="18">
        <v>1</v>
      </c>
      <c r="H546" s="19" t="s">
        <v>20</v>
      </c>
    </row>
    <row r="547" spans="1:8" ht="17.399999999999999" thickBot="1" x14ac:dyDescent="0.45">
      <c r="A547" s="16">
        <v>546</v>
      </c>
      <c r="B547" s="17">
        <v>45815</v>
      </c>
      <c r="C547" s="17" t="str">
        <f>TEXT(sentiment[[#This Row],[date]],"MMM-YYYY")</f>
        <v>Jun-2025</v>
      </c>
      <c r="D547" s="18" t="s">
        <v>22</v>
      </c>
      <c r="E547" s="18" t="s">
        <v>8</v>
      </c>
      <c r="F547" s="18" t="s">
        <v>24</v>
      </c>
      <c r="G547" s="18">
        <v>1</v>
      </c>
      <c r="H547" s="19" t="s">
        <v>20</v>
      </c>
    </row>
    <row r="548" spans="1:8" ht="17.399999999999999" thickBot="1" x14ac:dyDescent="0.45">
      <c r="A548" s="16">
        <v>547</v>
      </c>
      <c r="B548" s="17">
        <v>45725</v>
      </c>
      <c r="C548" s="17" t="str">
        <f>TEXT(sentiment[[#This Row],[date]],"MMM-YYYY")</f>
        <v>Mar-2025</v>
      </c>
      <c r="D548" s="18" t="s">
        <v>17</v>
      </c>
      <c r="E548" s="18" t="s">
        <v>8</v>
      </c>
      <c r="F548" s="18" t="s">
        <v>12</v>
      </c>
      <c r="G548" s="18">
        <v>5</v>
      </c>
      <c r="H548" s="19" t="s">
        <v>13</v>
      </c>
    </row>
    <row r="549" spans="1:8" ht="17.399999999999999" thickBot="1" x14ac:dyDescent="0.45">
      <c r="A549" s="16">
        <v>548</v>
      </c>
      <c r="B549" s="17">
        <v>45860</v>
      </c>
      <c r="C549" s="17" t="str">
        <f>TEXT(sentiment[[#This Row],[date]],"MMM-YYYY")</f>
        <v>Jul-2025</v>
      </c>
      <c r="D549" s="18" t="s">
        <v>17</v>
      </c>
      <c r="E549" s="18" t="s">
        <v>8</v>
      </c>
      <c r="F549" s="18" t="s">
        <v>31</v>
      </c>
      <c r="G549" s="18">
        <v>3</v>
      </c>
      <c r="H549" s="19" t="s">
        <v>10</v>
      </c>
    </row>
    <row r="550" spans="1:8" ht="17.399999999999999" thickBot="1" x14ac:dyDescent="0.45">
      <c r="A550" s="16">
        <v>549</v>
      </c>
      <c r="B550" s="17">
        <v>45614</v>
      </c>
      <c r="C550" s="17" t="str">
        <f>TEXT(sentiment[[#This Row],[date]],"MMM-YYYY")</f>
        <v>Nov-2024</v>
      </c>
      <c r="D550" s="18" t="s">
        <v>26</v>
      </c>
      <c r="E550" s="18" t="s">
        <v>8</v>
      </c>
      <c r="F550" s="18" t="s">
        <v>12</v>
      </c>
      <c r="G550" s="18">
        <v>4</v>
      </c>
      <c r="H550" s="19" t="s">
        <v>13</v>
      </c>
    </row>
    <row r="551" spans="1:8" x14ac:dyDescent="0.4">
      <c r="A551" s="20">
        <v>550</v>
      </c>
      <c r="B551" s="21">
        <v>45301</v>
      </c>
      <c r="C551" s="21" t="str">
        <f>TEXT(sentiment[[#This Row],[date]],"MMM-YYYY")</f>
        <v>Jan-2024</v>
      </c>
      <c r="D551" s="22" t="s">
        <v>22</v>
      </c>
      <c r="E551" s="22" t="s">
        <v>15</v>
      </c>
      <c r="F551" s="22" t="s">
        <v>16</v>
      </c>
      <c r="G551" s="22">
        <v>5</v>
      </c>
      <c r="H551" s="23" t="s">
        <v>13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pivots </vt:lpstr>
      <vt:lpstr>DASHBOARD</vt:lpstr>
      <vt:lpstr>sentiment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N.KEERTHI</dc:creator>
  <cp:lastModifiedBy>keerthi nammi</cp:lastModifiedBy>
  <dcterms:created xsi:type="dcterms:W3CDTF">2026-04-02T07:33:07Z</dcterms:created>
  <dcterms:modified xsi:type="dcterms:W3CDTF">2026-04-10T05:33:14Z</dcterms:modified>
</cp:coreProperties>
</file>